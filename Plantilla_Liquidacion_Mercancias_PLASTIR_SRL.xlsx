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8a8d1a45d5ac45d/Desktop/Lenova backup/Plastir SRL/"/>
    </mc:Choice>
  </mc:AlternateContent>
  <xr:revisionPtr revIDLastSave="0" documentId="8_{166177E2-FD44-4CA6-9DB7-27D9C240091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sumen" sheetId="1" r:id="rId1"/>
    <sheet name="Facturas y gastos" sheetId="2" r:id="rId2"/>
    <sheet name="Mercanc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7" i="3" l="1"/>
  <c r="N657" i="3"/>
  <c r="M657" i="3"/>
  <c r="L657" i="3"/>
  <c r="J657" i="3"/>
  <c r="K657" i="3" s="1"/>
  <c r="O656" i="3"/>
  <c r="K656" i="3"/>
  <c r="J656" i="3"/>
  <c r="N656" i="3" s="1"/>
  <c r="O655" i="3"/>
  <c r="J655" i="3"/>
  <c r="N655" i="3" s="1"/>
  <c r="M654" i="3"/>
  <c r="L654" i="3"/>
  <c r="J654" i="3"/>
  <c r="K654" i="3" s="1"/>
  <c r="J653" i="3"/>
  <c r="J652" i="3"/>
  <c r="L651" i="3"/>
  <c r="J651" i="3"/>
  <c r="O651" i="3" s="1"/>
  <c r="O650" i="3"/>
  <c r="N650" i="3"/>
  <c r="M650" i="3"/>
  <c r="L650" i="3"/>
  <c r="K650" i="3"/>
  <c r="J650" i="3"/>
  <c r="N649" i="3"/>
  <c r="L649" i="3"/>
  <c r="J649" i="3"/>
  <c r="O648" i="3"/>
  <c r="N648" i="3"/>
  <c r="M648" i="3"/>
  <c r="K648" i="3"/>
  <c r="J648" i="3"/>
  <c r="L648" i="3" s="1"/>
  <c r="N647" i="3"/>
  <c r="L647" i="3"/>
  <c r="K647" i="3"/>
  <c r="J647" i="3"/>
  <c r="O647" i="3" s="1"/>
  <c r="O646" i="3"/>
  <c r="K646" i="3"/>
  <c r="J646" i="3"/>
  <c r="N646" i="3" s="1"/>
  <c r="J645" i="3"/>
  <c r="O644" i="3"/>
  <c r="N644" i="3"/>
  <c r="M644" i="3"/>
  <c r="L644" i="3"/>
  <c r="K644" i="3"/>
  <c r="J644" i="3"/>
  <c r="L643" i="3"/>
  <c r="K643" i="3"/>
  <c r="J643" i="3"/>
  <c r="O643" i="3" s="1"/>
  <c r="M642" i="3"/>
  <c r="K642" i="3"/>
  <c r="J642" i="3"/>
  <c r="O642" i="3" s="1"/>
  <c r="O641" i="3"/>
  <c r="N641" i="3"/>
  <c r="M641" i="3"/>
  <c r="L641" i="3"/>
  <c r="J641" i="3"/>
  <c r="K641" i="3" s="1"/>
  <c r="O640" i="3"/>
  <c r="M640" i="3"/>
  <c r="L640" i="3"/>
  <c r="K640" i="3"/>
  <c r="J640" i="3"/>
  <c r="N640" i="3" s="1"/>
  <c r="O639" i="3"/>
  <c r="J639" i="3"/>
  <c r="N639" i="3" s="1"/>
  <c r="O638" i="3"/>
  <c r="N638" i="3"/>
  <c r="M638" i="3"/>
  <c r="L638" i="3"/>
  <c r="J638" i="3"/>
  <c r="K638" i="3" s="1"/>
  <c r="J637" i="3"/>
  <c r="O636" i="3"/>
  <c r="K636" i="3"/>
  <c r="J636" i="3"/>
  <c r="L635" i="3"/>
  <c r="J635" i="3"/>
  <c r="O634" i="3"/>
  <c r="N634" i="3"/>
  <c r="M634" i="3"/>
  <c r="L634" i="3"/>
  <c r="K634" i="3"/>
  <c r="J634" i="3"/>
  <c r="J633" i="3"/>
  <c r="O632" i="3"/>
  <c r="N632" i="3"/>
  <c r="M632" i="3"/>
  <c r="J632" i="3"/>
  <c r="L632" i="3" s="1"/>
  <c r="N631" i="3"/>
  <c r="M631" i="3"/>
  <c r="L631" i="3"/>
  <c r="K631" i="3"/>
  <c r="J631" i="3"/>
  <c r="O631" i="3" s="1"/>
  <c r="O630" i="3"/>
  <c r="K630" i="3"/>
  <c r="J630" i="3"/>
  <c r="N630" i="3" s="1"/>
  <c r="O629" i="3"/>
  <c r="N629" i="3"/>
  <c r="J629" i="3"/>
  <c r="O628" i="3"/>
  <c r="N628" i="3"/>
  <c r="M628" i="3"/>
  <c r="L628" i="3"/>
  <c r="K628" i="3"/>
  <c r="J628" i="3"/>
  <c r="L627" i="3"/>
  <c r="K627" i="3"/>
  <c r="J627" i="3"/>
  <c r="O627" i="3" s="1"/>
  <c r="M626" i="3"/>
  <c r="K626" i="3"/>
  <c r="J626" i="3"/>
  <c r="O625" i="3"/>
  <c r="N625" i="3"/>
  <c r="M625" i="3"/>
  <c r="L625" i="3"/>
  <c r="J625" i="3"/>
  <c r="K625" i="3" s="1"/>
  <c r="O624" i="3"/>
  <c r="M624" i="3"/>
  <c r="L624" i="3"/>
  <c r="K624" i="3"/>
  <c r="J624" i="3"/>
  <c r="N624" i="3" s="1"/>
  <c r="O623" i="3"/>
  <c r="J623" i="3"/>
  <c r="N623" i="3" s="1"/>
  <c r="O622" i="3"/>
  <c r="N622" i="3"/>
  <c r="M622" i="3"/>
  <c r="L622" i="3"/>
  <c r="J622" i="3"/>
  <c r="K622" i="3" s="1"/>
  <c r="J621" i="3"/>
  <c r="J620" i="3"/>
  <c r="J619" i="3"/>
  <c r="O618" i="3"/>
  <c r="N618" i="3"/>
  <c r="M618" i="3"/>
  <c r="L618" i="3"/>
  <c r="K618" i="3"/>
  <c r="J618" i="3"/>
  <c r="N617" i="3"/>
  <c r="K617" i="3"/>
  <c r="J617" i="3"/>
  <c r="O616" i="3"/>
  <c r="N616" i="3"/>
  <c r="M616" i="3"/>
  <c r="J616" i="3"/>
  <c r="L616" i="3" s="1"/>
  <c r="N615" i="3"/>
  <c r="M615" i="3"/>
  <c r="L615" i="3"/>
  <c r="K615" i="3"/>
  <c r="J615" i="3"/>
  <c r="O615" i="3" s="1"/>
  <c r="O614" i="3"/>
  <c r="K614" i="3"/>
  <c r="J614" i="3"/>
  <c r="N614" i="3" s="1"/>
  <c r="J613" i="3"/>
  <c r="O612" i="3"/>
  <c r="N612" i="3"/>
  <c r="M612" i="3"/>
  <c r="L612" i="3"/>
  <c r="K612" i="3"/>
  <c r="J612" i="3"/>
  <c r="L611" i="3"/>
  <c r="K611" i="3"/>
  <c r="J611" i="3"/>
  <c r="O611" i="3" s="1"/>
  <c r="M610" i="3"/>
  <c r="K610" i="3"/>
  <c r="J610" i="3"/>
  <c r="O609" i="3"/>
  <c r="N609" i="3"/>
  <c r="M609" i="3"/>
  <c r="L609" i="3"/>
  <c r="J609" i="3"/>
  <c r="K609" i="3" s="1"/>
  <c r="O608" i="3"/>
  <c r="M608" i="3"/>
  <c r="L608" i="3"/>
  <c r="K608" i="3"/>
  <c r="J608" i="3"/>
  <c r="N608" i="3" s="1"/>
  <c r="O607" i="3"/>
  <c r="J607" i="3"/>
  <c r="N607" i="3" s="1"/>
  <c r="O606" i="3"/>
  <c r="N606" i="3"/>
  <c r="M606" i="3"/>
  <c r="L606" i="3"/>
  <c r="J606" i="3"/>
  <c r="K606" i="3" s="1"/>
  <c r="J605" i="3"/>
  <c r="J604" i="3"/>
  <c r="L603" i="3"/>
  <c r="J603" i="3"/>
  <c r="O602" i="3"/>
  <c r="N602" i="3"/>
  <c r="M602" i="3"/>
  <c r="L602" i="3"/>
  <c r="K602" i="3"/>
  <c r="J602" i="3"/>
  <c r="N601" i="3"/>
  <c r="K601" i="3"/>
  <c r="J601" i="3"/>
  <c r="O600" i="3"/>
  <c r="N600" i="3"/>
  <c r="M600" i="3"/>
  <c r="J600" i="3"/>
  <c r="L600" i="3" s="1"/>
  <c r="N599" i="3"/>
  <c r="M599" i="3"/>
  <c r="L599" i="3"/>
  <c r="K599" i="3"/>
  <c r="J599" i="3"/>
  <c r="O599" i="3" s="1"/>
  <c r="O598" i="3"/>
  <c r="K598" i="3"/>
  <c r="J598" i="3"/>
  <c r="N598" i="3" s="1"/>
  <c r="J597" i="3"/>
  <c r="O596" i="3"/>
  <c r="N596" i="3"/>
  <c r="M596" i="3"/>
  <c r="L596" i="3"/>
  <c r="K596" i="3"/>
  <c r="J596" i="3"/>
  <c r="L595" i="3"/>
  <c r="K595" i="3"/>
  <c r="J595" i="3"/>
  <c r="O595" i="3" s="1"/>
  <c r="J594" i="3"/>
  <c r="O593" i="3"/>
  <c r="N593" i="3"/>
  <c r="M593" i="3"/>
  <c r="L593" i="3"/>
  <c r="J593" i="3"/>
  <c r="K593" i="3" s="1"/>
  <c r="O592" i="3"/>
  <c r="M592" i="3"/>
  <c r="L592" i="3"/>
  <c r="K592" i="3"/>
  <c r="J592" i="3"/>
  <c r="N592" i="3" s="1"/>
  <c r="O591" i="3"/>
  <c r="J591" i="3"/>
  <c r="N591" i="3" s="1"/>
  <c r="O590" i="3"/>
  <c r="N590" i="3"/>
  <c r="M590" i="3"/>
  <c r="L590" i="3"/>
  <c r="J590" i="3"/>
  <c r="K590" i="3" s="1"/>
  <c r="J589" i="3"/>
  <c r="K588" i="3"/>
  <c r="J588" i="3"/>
  <c r="L587" i="3"/>
  <c r="J587" i="3"/>
  <c r="O586" i="3"/>
  <c r="N586" i="3"/>
  <c r="M586" i="3"/>
  <c r="L586" i="3"/>
  <c r="K586" i="3"/>
  <c r="J586" i="3"/>
  <c r="N585" i="3"/>
  <c r="L585" i="3"/>
  <c r="K585" i="3"/>
  <c r="J585" i="3"/>
  <c r="O584" i="3"/>
  <c r="N584" i="3"/>
  <c r="M584" i="3"/>
  <c r="J584" i="3"/>
  <c r="L584" i="3" s="1"/>
  <c r="N583" i="3"/>
  <c r="M583" i="3"/>
  <c r="L583" i="3"/>
  <c r="K583" i="3"/>
  <c r="J583" i="3"/>
  <c r="O583" i="3" s="1"/>
  <c r="O582" i="3"/>
  <c r="K582" i="3"/>
  <c r="J582" i="3"/>
  <c r="N582" i="3" s="1"/>
  <c r="N581" i="3"/>
  <c r="J581" i="3"/>
  <c r="N580" i="3"/>
  <c r="M580" i="3"/>
  <c r="L580" i="3"/>
  <c r="K580" i="3"/>
  <c r="J580" i="3"/>
  <c r="O580" i="3" s="1"/>
  <c r="L579" i="3"/>
  <c r="K579" i="3"/>
  <c r="J579" i="3"/>
  <c r="O579" i="3" s="1"/>
  <c r="J578" i="3"/>
  <c r="O577" i="3"/>
  <c r="N577" i="3"/>
  <c r="M577" i="3"/>
  <c r="L577" i="3"/>
  <c r="J577" i="3"/>
  <c r="K577" i="3" s="1"/>
  <c r="O576" i="3"/>
  <c r="M576" i="3"/>
  <c r="L576" i="3"/>
  <c r="K576" i="3"/>
  <c r="J576" i="3"/>
  <c r="N576" i="3" s="1"/>
  <c r="O575" i="3"/>
  <c r="N575" i="3"/>
  <c r="J575" i="3"/>
  <c r="M575" i="3" s="1"/>
  <c r="O574" i="3"/>
  <c r="N574" i="3"/>
  <c r="M574" i="3"/>
  <c r="L574" i="3"/>
  <c r="J574" i="3"/>
  <c r="K574" i="3" s="1"/>
  <c r="J573" i="3"/>
  <c r="O572" i="3"/>
  <c r="K572" i="3"/>
  <c r="J572" i="3"/>
  <c r="L571" i="3"/>
  <c r="J571" i="3"/>
  <c r="O570" i="3"/>
  <c r="N570" i="3"/>
  <c r="M570" i="3"/>
  <c r="L570" i="3"/>
  <c r="K570" i="3"/>
  <c r="J570" i="3"/>
  <c r="J569" i="3"/>
  <c r="O568" i="3"/>
  <c r="N568" i="3"/>
  <c r="M568" i="3"/>
  <c r="J568" i="3"/>
  <c r="L568" i="3" s="1"/>
  <c r="N567" i="3"/>
  <c r="M567" i="3"/>
  <c r="L567" i="3"/>
  <c r="K567" i="3"/>
  <c r="J567" i="3"/>
  <c r="O567" i="3" s="1"/>
  <c r="O566" i="3"/>
  <c r="K566" i="3"/>
  <c r="J566" i="3"/>
  <c r="N566" i="3" s="1"/>
  <c r="N565" i="3"/>
  <c r="J565" i="3"/>
  <c r="N564" i="3"/>
  <c r="M564" i="3"/>
  <c r="L564" i="3"/>
  <c r="K564" i="3"/>
  <c r="J564" i="3"/>
  <c r="O564" i="3" s="1"/>
  <c r="L563" i="3"/>
  <c r="K563" i="3"/>
  <c r="J563" i="3"/>
  <c r="O563" i="3" s="1"/>
  <c r="J562" i="3"/>
  <c r="O561" i="3"/>
  <c r="N561" i="3"/>
  <c r="M561" i="3"/>
  <c r="L561" i="3"/>
  <c r="J561" i="3"/>
  <c r="K561" i="3" s="1"/>
  <c r="O560" i="3"/>
  <c r="M560" i="3"/>
  <c r="L560" i="3"/>
  <c r="K560" i="3"/>
  <c r="J560" i="3"/>
  <c r="N560" i="3" s="1"/>
  <c r="O559" i="3"/>
  <c r="J559" i="3"/>
  <c r="N559" i="3" s="1"/>
  <c r="O558" i="3"/>
  <c r="N558" i="3"/>
  <c r="M558" i="3"/>
  <c r="L558" i="3"/>
  <c r="J558" i="3"/>
  <c r="K558" i="3" s="1"/>
  <c r="J557" i="3"/>
  <c r="K556" i="3"/>
  <c r="J556" i="3"/>
  <c r="L555" i="3"/>
  <c r="J555" i="3"/>
  <c r="O554" i="3"/>
  <c r="N554" i="3"/>
  <c r="M554" i="3"/>
  <c r="L554" i="3"/>
  <c r="K554" i="3"/>
  <c r="J554" i="3"/>
  <c r="N553" i="3"/>
  <c r="L553" i="3"/>
  <c r="K553" i="3"/>
  <c r="J553" i="3"/>
  <c r="O552" i="3"/>
  <c r="N552" i="3"/>
  <c r="M552" i="3"/>
  <c r="J552" i="3"/>
  <c r="L552" i="3" s="1"/>
  <c r="N551" i="3"/>
  <c r="M551" i="3"/>
  <c r="L551" i="3"/>
  <c r="K551" i="3"/>
  <c r="J551" i="3"/>
  <c r="O551" i="3" s="1"/>
  <c r="O550" i="3"/>
  <c r="K550" i="3"/>
  <c r="J550" i="3"/>
  <c r="N550" i="3" s="1"/>
  <c r="J549" i="3"/>
  <c r="N548" i="3"/>
  <c r="M548" i="3"/>
  <c r="L548" i="3"/>
  <c r="K548" i="3"/>
  <c r="J548" i="3"/>
  <c r="O548" i="3" s="1"/>
  <c r="L547" i="3"/>
  <c r="K547" i="3"/>
  <c r="J547" i="3"/>
  <c r="O547" i="3" s="1"/>
  <c r="J546" i="3"/>
  <c r="O545" i="3"/>
  <c r="N545" i="3"/>
  <c r="M545" i="3"/>
  <c r="L545" i="3"/>
  <c r="J545" i="3"/>
  <c r="K545" i="3" s="1"/>
  <c r="O544" i="3"/>
  <c r="M544" i="3"/>
  <c r="L544" i="3"/>
  <c r="K544" i="3"/>
  <c r="J544" i="3"/>
  <c r="N544" i="3" s="1"/>
  <c r="O543" i="3"/>
  <c r="J543" i="3"/>
  <c r="N543" i="3" s="1"/>
  <c r="O542" i="3"/>
  <c r="N542" i="3"/>
  <c r="M542" i="3"/>
  <c r="L542" i="3"/>
  <c r="J542" i="3"/>
  <c r="K542" i="3" s="1"/>
  <c r="J541" i="3"/>
  <c r="O540" i="3"/>
  <c r="K540" i="3"/>
  <c r="J540" i="3"/>
  <c r="J539" i="3"/>
  <c r="O538" i="3"/>
  <c r="N538" i="3"/>
  <c r="M538" i="3"/>
  <c r="L538" i="3"/>
  <c r="K538" i="3"/>
  <c r="J538" i="3"/>
  <c r="N537" i="3"/>
  <c r="K537" i="3"/>
  <c r="J537" i="3"/>
  <c r="O536" i="3"/>
  <c r="N536" i="3"/>
  <c r="J536" i="3"/>
  <c r="M536" i="3" s="1"/>
  <c r="N535" i="3"/>
  <c r="M535" i="3"/>
  <c r="L535" i="3"/>
  <c r="K535" i="3"/>
  <c r="J535" i="3"/>
  <c r="O535" i="3" s="1"/>
  <c r="O534" i="3"/>
  <c r="L534" i="3"/>
  <c r="K534" i="3"/>
  <c r="J534" i="3"/>
  <c r="N534" i="3" s="1"/>
  <c r="O533" i="3"/>
  <c r="J533" i="3"/>
  <c r="N532" i="3"/>
  <c r="M532" i="3"/>
  <c r="L532" i="3"/>
  <c r="K532" i="3"/>
  <c r="J532" i="3"/>
  <c r="O532" i="3" s="1"/>
  <c r="L531" i="3"/>
  <c r="K531" i="3"/>
  <c r="J531" i="3"/>
  <c r="O531" i="3" s="1"/>
  <c r="M530" i="3"/>
  <c r="K530" i="3"/>
  <c r="J530" i="3"/>
  <c r="O529" i="3"/>
  <c r="N529" i="3"/>
  <c r="M529" i="3"/>
  <c r="L529" i="3"/>
  <c r="J529" i="3"/>
  <c r="K529" i="3" s="1"/>
  <c r="O528" i="3"/>
  <c r="M528" i="3"/>
  <c r="L528" i="3"/>
  <c r="K528" i="3"/>
  <c r="J528" i="3"/>
  <c r="N528" i="3" s="1"/>
  <c r="O527" i="3"/>
  <c r="K527" i="3"/>
  <c r="J527" i="3"/>
  <c r="N527" i="3" s="1"/>
  <c r="O526" i="3"/>
  <c r="N526" i="3"/>
  <c r="M526" i="3"/>
  <c r="L526" i="3"/>
  <c r="J526" i="3"/>
  <c r="K526" i="3" s="1"/>
  <c r="J525" i="3"/>
  <c r="K524" i="3"/>
  <c r="J524" i="3"/>
  <c r="L523" i="3"/>
  <c r="J523" i="3"/>
  <c r="O522" i="3"/>
  <c r="N522" i="3"/>
  <c r="M522" i="3"/>
  <c r="L522" i="3"/>
  <c r="K522" i="3"/>
  <c r="J522" i="3"/>
  <c r="N521" i="3"/>
  <c r="L521" i="3"/>
  <c r="K521" i="3"/>
  <c r="J521" i="3"/>
  <c r="O520" i="3"/>
  <c r="N520" i="3"/>
  <c r="J520" i="3"/>
  <c r="M520" i="3" s="1"/>
  <c r="N519" i="3"/>
  <c r="M519" i="3"/>
  <c r="L519" i="3"/>
  <c r="K519" i="3"/>
  <c r="J519" i="3"/>
  <c r="O519" i="3" s="1"/>
  <c r="O518" i="3"/>
  <c r="L518" i="3"/>
  <c r="K518" i="3"/>
  <c r="J518" i="3"/>
  <c r="N518" i="3" s="1"/>
  <c r="O517" i="3"/>
  <c r="N517" i="3"/>
  <c r="J517" i="3"/>
  <c r="N516" i="3"/>
  <c r="M516" i="3"/>
  <c r="L516" i="3"/>
  <c r="K516" i="3"/>
  <c r="J516" i="3"/>
  <c r="O516" i="3" s="1"/>
  <c r="L515" i="3"/>
  <c r="K515" i="3"/>
  <c r="J515" i="3"/>
  <c r="O515" i="3" s="1"/>
  <c r="M514" i="3"/>
  <c r="K514" i="3"/>
  <c r="J514" i="3"/>
  <c r="N513" i="3"/>
  <c r="M513" i="3"/>
  <c r="J513" i="3"/>
  <c r="O512" i="3"/>
  <c r="M512" i="3"/>
  <c r="L512" i="3"/>
  <c r="K512" i="3"/>
  <c r="J512" i="3"/>
  <c r="N512" i="3" s="1"/>
  <c r="L511" i="3"/>
  <c r="J511" i="3"/>
  <c r="N511" i="3" s="1"/>
  <c r="N510" i="3"/>
  <c r="M510" i="3"/>
  <c r="J510" i="3"/>
  <c r="L510" i="3" s="1"/>
  <c r="N509" i="3"/>
  <c r="L509" i="3"/>
  <c r="J509" i="3"/>
  <c r="J508" i="3"/>
  <c r="N507" i="3"/>
  <c r="L507" i="3"/>
  <c r="J507" i="3"/>
  <c r="N506" i="3"/>
  <c r="M506" i="3"/>
  <c r="L506" i="3"/>
  <c r="J506" i="3"/>
  <c r="L505" i="3"/>
  <c r="J505" i="3"/>
  <c r="N504" i="3"/>
  <c r="K504" i="3"/>
  <c r="J504" i="3"/>
  <c r="M504" i="3" s="1"/>
  <c r="N503" i="3"/>
  <c r="M503" i="3"/>
  <c r="L503" i="3"/>
  <c r="K503" i="3"/>
  <c r="J503" i="3"/>
  <c r="M502" i="3"/>
  <c r="L502" i="3"/>
  <c r="K502" i="3"/>
  <c r="J502" i="3"/>
  <c r="J501" i="3"/>
  <c r="N500" i="3"/>
  <c r="M500" i="3"/>
  <c r="K500" i="3"/>
  <c r="O500" i="3" s="1"/>
  <c r="J500" i="3"/>
  <c r="L500" i="3" s="1"/>
  <c r="N499" i="3"/>
  <c r="M499" i="3"/>
  <c r="L499" i="3"/>
  <c r="K499" i="3"/>
  <c r="J499" i="3"/>
  <c r="J498" i="3"/>
  <c r="J497" i="3"/>
  <c r="M496" i="3"/>
  <c r="L496" i="3"/>
  <c r="K496" i="3"/>
  <c r="O496" i="3" s="1"/>
  <c r="J496" i="3"/>
  <c r="N496" i="3" s="1"/>
  <c r="J495" i="3"/>
  <c r="N494" i="3"/>
  <c r="O494" i="3" s="1"/>
  <c r="M494" i="3"/>
  <c r="L494" i="3"/>
  <c r="J494" i="3"/>
  <c r="K494" i="3" s="1"/>
  <c r="N493" i="3"/>
  <c r="J493" i="3"/>
  <c r="L492" i="3"/>
  <c r="J492" i="3"/>
  <c r="M492" i="3" s="1"/>
  <c r="N491" i="3"/>
  <c r="L491" i="3"/>
  <c r="J491" i="3"/>
  <c r="N490" i="3"/>
  <c r="M490" i="3"/>
  <c r="L490" i="3"/>
  <c r="J490" i="3"/>
  <c r="N489" i="3"/>
  <c r="L489" i="3"/>
  <c r="K489" i="3"/>
  <c r="J489" i="3"/>
  <c r="N488" i="3"/>
  <c r="K488" i="3"/>
  <c r="J488" i="3"/>
  <c r="M488" i="3" s="1"/>
  <c r="N487" i="3"/>
  <c r="M487" i="3"/>
  <c r="O487" i="3" s="1"/>
  <c r="L487" i="3"/>
  <c r="K487" i="3"/>
  <c r="J487" i="3"/>
  <c r="N486" i="3"/>
  <c r="M486" i="3"/>
  <c r="L486" i="3"/>
  <c r="K486" i="3"/>
  <c r="J486" i="3"/>
  <c r="N485" i="3"/>
  <c r="M485" i="3"/>
  <c r="L485" i="3"/>
  <c r="O485" i="3" s="1"/>
  <c r="K485" i="3"/>
  <c r="J485" i="3"/>
  <c r="L484" i="3"/>
  <c r="J484" i="3"/>
  <c r="N483" i="3"/>
  <c r="M483" i="3"/>
  <c r="L483" i="3"/>
  <c r="K483" i="3"/>
  <c r="J483" i="3"/>
  <c r="J482" i="3"/>
  <c r="J481" i="3"/>
  <c r="N480" i="3"/>
  <c r="L480" i="3"/>
  <c r="K480" i="3"/>
  <c r="J480" i="3"/>
  <c r="N479" i="3"/>
  <c r="L479" i="3"/>
  <c r="K479" i="3"/>
  <c r="J479" i="3"/>
  <c r="M479" i="3" s="1"/>
  <c r="N478" i="3"/>
  <c r="M478" i="3"/>
  <c r="L478" i="3"/>
  <c r="K478" i="3"/>
  <c r="J478" i="3"/>
  <c r="N477" i="3"/>
  <c r="M477" i="3"/>
  <c r="K477" i="3"/>
  <c r="J477" i="3"/>
  <c r="N476" i="3"/>
  <c r="M476" i="3"/>
  <c r="L476" i="3"/>
  <c r="O476" i="3" s="1"/>
  <c r="K476" i="3"/>
  <c r="J476" i="3"/>
  <c r="M475" i="3"/>
  <c r="J475" i="3"/>
  <c r="O474" i="3"/>
  <c r="N474" i="3"/>
  <c r="M474" i="3"/>
  <c r="L474" i="3"/>
  <c r="K474" i="3"/>
  <c r="J474" i="3"/>
  <c r="M473" i="3"/>
  <c r="J473" i="3"/>
  <c r="K472" i="3"/>
  <c r="J472" i="3"/>
  <c r="L471" i="3"/>
  <c r="K471" i="3"/>
  <c r="J471" i="3"/>
  <c r="L470" i="3"/>
  <c r="J470" i="3"/>
  <c r="N469" i="3"/>
  <c r="M469" i="3"/>
  <c r="L469" i="3"/>
  <c r="K469" i="3"/>
  <c r="O469" i="3" s="1"/>
  <c r="J469" i="3"/>
  <c r="N468" i="3"/>
  <c r="L468" i="3"/>
  <c r="J468" i="3"/>
  <c r="O467" i="3"/>
  <c r="N467" i="3"/>
  <c r="M467" i="3"/>
  <c r="L467" i="3"/>
  <c r="J467" i="3"/>
  <c r="K467" i="3" s="1"/>
  <c r="J466" i="3"/>
  <c r="J465" i="3"/>
  <c r="L464" i="3"/>
  <c r="K464" i="3"/>
  <c r="J464" i="3"/>
  <c r="N463" i="3"/>
  <c r="L463" i="3"/>
  <c r="K463" i="3"/>
  <c r="J463" i="3"/>
  <c r="M463" i="3" s="1"/>
  <c r="N462" i="3"/>
  <c r="J462" i="3"/>
  <c r="N461" i="3"/>
  <c r="M461" i="3"/>
  <c r="K461" i="3"/>
  <c r="J461" i="3"/>
  <c r="O460" i="3"/>
  <c r="N460" i="3"/>
  <c r="M460" i="3"/>
  <c r="L460" i="3"/>
  <c r="K460" i="3"/>
  <c r="J460" i="3"/>
  <c r="M459" i="3"/>
  <c r="J459" i="3"/>
  <c r="O458" i="3"/>
  <c r="N458" i="3"/>
  <c r="M458" i="3"/>
  <c r="L458" i="3"/>
  <c r="K458" i="3"/>
  <c r="J458" i="3"/>
  <c r="L457" i="3"/>
  <c r="J457" i="3"/>
  <c r="N457" i="3" s="1"/>
  <c r="K456" i="3"/>
  <c r="J456" i="3"/>
  <c r="N455" i="3"/>
  <c r="M455" i="3"/>
  <c r="L455" i="3"/>
  <c r="J455" i="3"/>
  <c r="K455" i="3" s="1"/>
  <c r="M454" i="3"/>
  <c r="J454" i="3"/>
  <c r="N453" i="3"/>
  <c r="M453" i="3"/>
  <c r="L453" i="3"/>
  <c r="K453" i="3"/>
  <c r="O453" i="3" s="1"/>
  <c r="J453" i="3"/>
  <c r="N452" i="3"/>
  <c r="J452" i="3"/>
  <c r="N451" i="3"/>
  <c r="M451" i="3"/>
  <c r="J451" i="3"/>
  <c r="L451" i="3" s="1"/>
  <c r="L450" i="3"/>
  <c r="J450" i="3"/>
  <c r="L449" i="3"/>
  <c r="J449" i="3"/>
  <c r="L448" i="3"/>
  <c r="K448" i="3"/>
  <c r="J448" i="3"/>
  <c r="N447" i="3"/>
  <c r="L447" i="3"/>
  <c r="K447" i="3"/>
  <c r="J447" i="3"/>
  <c r="M447" i="3" s="1"/>
  <c r="J446" i="3"/>
  <c r="N445" i="3"/>
  <c r="M445" i="3"/>
  <c r="K445" i="3"/>
  <c r="J445" i="3"/>
  <c r="N444" i="3"/>
  <c r="M444" i="3"/>
  <c r="L444" i="3"/>
  <c r="K444" i="3"/>
  <c r="J444" i="3"/>
  <c r="M443" i="3"/>
  <c r="K443" i="3"/>
  <c r="J443" i="3"/>
  <c r="N443" i="3" s="1"/>
  <c r="N442" i="3"/>
  <c r="M442" i="3"/>
  <c r="L442" i="3"/>
  <c r="K442" i="3"/>
  <c r="J442" i="3"/>
  <c r="J441" i="3"/>
  <c r="M440" i="3"/>
  <c r="K440" i="3"/>
  <c r="J440" i="3"/>
  <c r="N439" i="3"/>
  <c r="M439" i="3"/>
  <c r="O439" i="3" s="1"/>
  <c r="L439" i="3"/>
  <c r="K439" i="3"/>
  <c r="J439" i="3"/>
  <c r="L438" i="3"/>
  <c r="J438" i="3"/>
  <c r="M437" i="3"/>
  <c r="L437" i="3"/>
  <c r="J437" i="3"/>
  <c r="J436" i="3"/>
  <c r="J435" i="3"/>
  <c r="N434" i="3"/>
  <c r="M434" i="3"/>
  <c r="L434" i="3"/>
  <c r="K434" i="3"/>
  <c r="J434" i="3"/>
  <c r="J433" i="3"/>
  <c r="O432" i="3"/>
  <c r="N432" i="3"/>
  <c r="M432" i="3"/>
  <c r="L432" i="3"/>
  <c r="J432" i="3"/>
  <c r="K432" i="3" s="1"/>
  <c r="N431" i="3"/>
  <c r="L431" i="3"/>
  <c r="K431" i="3"/>
  <c r="J431" i="3"/>
  <c r="M431" i="3" s="1"/>
  <c r="N430" i="3"/>
  <c r="L430" i="3"/>
  <c r="J430" i="3"/>
  <c r="N429" i="3"/>
  <c r="M429" i="3"/>
  <c r="J429" i="3"/>
  <c r="N428" i="3"/>
  <c r="M428" i="3"/>
  <c r="L428" i="3"/>
  <c r="K428" i="3"/>
  <c r="O428" i="3" s="1"/>
  <c r="J428" i="3"/>
  <c r="M427" i="3"/>
  <c r="L427" i="3"/>
  <c r="J427" i="3"/>
  <c r="N427" i="3" s="1"/>
  <c r="O426" i="3"/>
  <c r="N426" i="3"/>
  <c r="M426" i="3"/>
  <c r="L426" i="3"/>
  <c r="K426" i="3"/>
  <c r="J426" i="3"/>
  <c r="N425" i="3"/>
  <c r="M425" i="3"/>
  <c r="J425" i="3"/>
  <c r="L425" i="3" s="1"/>
  <c r="N424" i="3"/>
  <c r="O424" i="3" s="1"/>
  <c r="M424" i="3"/>
  <c r="K424" i="3"/>
  <c r="J424" i="3"/>
  <c r="L424" i="3" s="1"/>
  <c r="M423" i="3"/>
  <c r="J423" i="3"/>
  <c r="N423" i="3" s="1"/>
  <c r="L422" i="3"/>
  <c r="J422" i="3"/>
  <c r="M421" i="3"/>
  <c r="J421" i="3"/>
  <c r="N421" i="3" s="1"/>
  <c r="L420" i="3"/>
  <c r="K420" i="3"/>
  <c r="J420" i="3"/>
  <c r="M420" i="3" s="1"/>
  <c r="M419" i="3"/>
  <c r="J419" i="3"/>
  <c r="N418" i="3"/>
  <c r="M418" i="3"/>
  <c r="L418" i="3"/>
  <c r="J418" i="3"/>
  <c r="M417" i="3"/>
  <c r="J417" i="3"/>
  <c r="K417" i="3" s="1"/>
  <c r="N416" i="3"/>
  <c r="J416" i="3"/>
  <c r="O415" i="3"/>
  <c r="N415" i="3"/>
  <c r="L415" i="3"/>
  <c r="K415" i="3"/>
  <c r="J415" i="3"/>
  <c r="M415" i="3" s="1"/>
  <c r="N414" i="3"/>
  <c r="M414" i="3"/>
  <c r="L414" i="3"/>
  <c r="K414" i="3"/>
  <c r="J414" i="3"/>
  <c r="M413" i="3"/>
  <c r="J413" i="3"/>
  <c r="N412" i="3"/>
  <c r="O412" i="3" s="1"/>
  <c r="M412" i="3"/>
  <c r="L412" i="3"/>
  <c r="K412" i="3"/>
  <c r="J412" i="3"/>
  <c r="J411" i="3"/>
  <c r="N410" i="3"/>
  <c r="M410" i="3"/>
  <c r="L410" i="3"/>
  <c r="K410" i="3"/>
  <c r="J410" i="3"/>
  <c r="M409" i="3"/>
  <c r="K409" i="3"/>
  <c r="J409" i="3"/>
  <c r="O408" i="3"/>
  <c r="N408" i="3"/>
  <c r="M408" i="3"/>
  <c r="K408" i="3"/>
  <c r="J408" i="3"/>
  <c r="L408" i="3" s="1"/>
  <c r="K407" i="3"/>
  <c r="J407" i="3"/>
  <c r="M406" i="3"/>
  <c r="L406" i="3"/>
  <c r="J406" i="3"/>
  <c r="K405" i="3"/>
  <c r="J405" i="3"/>
  <c r="N404" i="3"/>
  <c r="L404" i="3"/>
  <c r="K404" i="3"/>
  <c r="J404" i="3"/>
  <c r="J403" i="3"/>
  <c r="J402" i="3"/>
  <c r="J401" i="3"/>
  <c r="N400" i="3"/>
  <c r="L400" i="3"/>
  <c r="K400" i="3"/>
  <c r="J400" i="3"/>
  <c r="O399" i="3"/>
  <c r="N399" i="3"/>
  <c r="L399" i="3"/>
  <c r="K399" i="3"/>
  <c r="J399" i="3"/>
  <c r="M399" i="3" s="1"/>
  <c r="N398" i="3"/>
  <c r="L398" i="3"/>
  <c r="K398" i="3"/>
  <c r="J398" i="3"/>
  <c r="J397" i="3"/>
  <c r="N396" i="3"/>
  <c r="K396" i="3"/>
  <c r="J396" i="3"/>
  <c r="M396" i="3" s="1"/>
  <c r="J395" i="3"/>
  <c r="N394" i="3"/>
  <c r="M394" i="3"/>
  <c r="L394" i="3"/>
  <c r="O394" i="3" s="1"/>
  <c r="K394" i="3"/>
  <c r="J394" i="3"/>
  <c r="K393" i="3"/>
  <c r="J393" i="3"/>
  <c r="J392" i="3"/>
  <c r="J391" i="3"/>
  <c r="J390" i="3"/>
  <c r="M389" i="3"/>
  <c r="K389" i="3"/>
  <c r="J389" i="3"/>
  <c r="L388" i="3"/>
  <c r="K388" i="3"/>
  <c r="J388" i="3"/>
  <c r="M388" i="3" s="1"/>
  <c r="J387" i="3"/>
  <c r="N386" i="3"/>
  <c r="K386" i="3"/>
  <c r="J386" i="3"/>
  <c r="M385" i="3"/>
  <c r="J385" i="3"/>
  <c r="O384" i="3"/>
  <c r="N384" i="3"/>
  <c r="M384" i="3"/>
  <c r="L384" i="3"/>
  <c r="K384" i="3"/>
  <c r="J384" i="3"/>
  <c r="N383" i="3"/>
  <c r="L383" i="3"/>
  <c r="O383" i="3" s="1"/>
  <c r="K383" i="3"/>
  <c r="J383" i="3"/>
  <c r="M383" i="3" s="1"/>
  <c r="N382" i="3"/>
  <c r="M382" i="3"/>
  <c r="L382" i="3"/>
  <c r="O382" i="3" s="1"/>
  <c r="K382" i="3"/>
  <c r="J382" i="3"/>
  <c r="M381" i="3"/>
  <c r="J381" i="3"/>
  <c r="O380" i="3"/>
  <c r="N380" i="3"/>
  <c r="M380" i="3"/>
  <c r="L380" i="3"/>
  <c r="K380" i="3"/>
  <c r="J380" i="3"/>
  <c r="L379" i="3"/>
  <c r="J379" i="3"/>
  <c r="O378" i="3"/>
  <c r="N378" i="3"/>
  <c r="M378" i="3"/>
  <c r="L378" i="3"/>
  <c r="K378" i="3"/>
  <c r="J378" i="3"/>
  <c r="J377" i="3"/>
  <c r="L377" i="3" s="1"/>
  <c r="N376" i="3"/>
  <c r="J376" i="3"/>
  <c r="N375" i="3"/>
  <c r="M375" i="3"/>
  <c r="K375" i="3"/>
  <c r="J375" i="3"/>
  <c r="L375" i="3" s="1"/>
  <c r="M374" i="3"/>
  <c r="J374" i="3"/>
  <c r="N373" i="3"/>
  <c r="O373" i="3" s="1"/>
  <c r="M373" i="3"/>
  <c r="K373" i="3"/>
  <c r="J373" i="3"/>
  <c r="L373" i="3" s="1"/>
  <c r="N372" i="3"/>
  <c r="L372" i="3"/>
  <c r="K372" i="3"/>
  <c r="J372" i="3"/>
  <c r="J371" i="3"/>
  <c r="K370" i="3"/>
  <c r="J370" i="3"/>
  <c r="M369" i="3"/>
  <c r="J369" i="3"/>
  <c r="N368" i="3"/>
  <c r="M368" i="3"/>
  <c r="L368" i="3"/>
  <c r="O368" i="3" s="1"/>
  <c r="K368" i="3"/>
  <c r="J368" i="3"/>
  <c r="K367" i="3"/>
  <c r="J367" i="3"/>
  <c r="L366" i="3"/>
  <c r="J366" i="3"/>
  <c r="K366" i="3" s="1"/>
  <c r="K365" i="3"/>
  <c r="J365" i="3"/>
  <c r="J364" i="3"/>
  <c r="L364" i="3" s="1"/>
  <c r="N363" i="3"/>
  <c r="J363" i="3"/>
  <c r="O362" i="3"/>
  <c r="N362" i="3"/>
  <c r="L362" i="3"/>
  <c r="K362" i="3"/>
  <c r="J362" i="3"/>
  <c r="M362" i="3" s="1"/>
  <c r="N361" i="3"/>
  <c r="L361" i="3"/>
  <c r="J361" i="3"/>
  <c r="N360" i="3"/>
  <c r="M360" i="3"/>
  <c r="L360" i="3"/>
  <c r="J360" i="3"/>
  <c r="L359" i="3"/>
  <c r="J359" i="3"/>
  <c r="O358" i="3"/>
  <c r="N358" i="3"/>
  <c r="L358" i="3"/>
  <c r="K358" i="3"/>
  <c r="J358" i="3"/>
  <c r="M358" i="3" s="1"/>
  <c r="N357" i="3"/>
  <c r="O357" i="3" s="1"/>
  <c r="M357" i="3"/>
  <c r="L357" i="3"/>
  <c r="K357" i="3"/>
  <c r="J357" i="3"/>
  <c r="N356" i="3"/>
  <c r="M356" i="3"/>
  <c r="L356" i="3"/>
  <c r="K356" i="3"/>
  <c r="J356" i="3"/>
  <c r="J355" i="3"/>
  <c r="O354" i="3"/>
  <c r="N354" i="3"/>
  <c r="M354" i="3"/>
  <c r="L354" i="3"/>
  <c r="K354" i="3"/>
  <c r="J354" i="3"/>
  <c r="O353" i="3"/>
  <c r="N353" i="3"/>
  <c r="M353" i="3"/>
  <c r="L353" i="3"/>
  <c r="K353" i="3"/>
  <c r="J353" i="3"/>
  <c r="O352" i="3"/>
  <c r="N352" i="3"/>
  <c r="M352" i="3"/>
  <c r="K352" i="3"/>
  <c r="J352" i="3"/>
  <c r="L352" i="3" s="1"/>
  <c r="J351" i="3"/>
  <c r="N350" i="3"/>
  <c r="K350" i="3"/>
  <c r="J350" i="3"/>
  <c r="M350" i="3" s="1"/>
  <c r="J349" i="3"/>
  <c r="J348" i="3"/>
  <c r="K348" i="3" s="1"/>
  <c r="M347" i="3"/>
  <c r="K347" i="3"/>
  <c r="J347" i="3"/>
  <c r="J346" i="3"/>
  <c r="M346" i="3" s="1"/>
  <c r="M345" i="3"/>
  <c r="K345" i="3"/>
  <c r="J345" i="3"/>
  <c r="N344" i="3"/>
  <c r="M344" i="3"/>
  <c r="L344" i="3"/>
  <c r="J344" i="3"/>
  <c r="M343" i="3"/>
  <c r="J343" i="3"/>
  <c r="O342" i="3"/>
  <c r="N342" i="3"/>
  <c r="L342" i="3"/>
  <c r="K342" i="3"/>
  <c r="J342" i="3"/>
  <c r="M342" i="3" s="1"/>
  <c r="O341" i="3"/>
  <c r="N341" i="3"/>
  <c r="M341" i="3"/>
  <c r="L341" i="3"/>
  <c r="K341" i="3"/>
  <c r="J341" i="3"/>
  <c r="J340" i="3"/>
  <c r="J339" i="3"/>
  <c r="N338" i="3"/>
  <c r="K338" i="3"/>
  <c r="J338" i="3"/>
  <c r="M338" i="3" s="1"/>
  <c r="O337" i="3"/>
  <c r="N337" i="3"/>
  <c r="M337" i="3"/>
  <c r="L337" i="3"/>
  <c r="K337" i="3"/>
  <c r="J337" i="3"/>
  <c r="J336" i="3"/>
  <c r="N335" i="3"/>
  <c r="J335" i="3"/>
  <c r="N334" i="3"/>
  <c r="L334" i="3"/>
  <c r="K334" i="3"/>
  <c r="J334" i="3"/>
  <c r="L333" i="3"/>
  <c r="J333" i="3"/>
  <c r="M332" i="3"/>
  <c r="L332" i="3"/>
  <c r="J332" i="3"/>
  <c r="O331" i="3"/>
  <c r="N331" i="3"/>
  <c r="M331" i="3"/>
  <c r="L331" i="3"/>
  <c r="K331" i="3"/>
  <c r="J331" i="3"/>
  <c r="N330" i="3"/>
  <c r="M330" i="3"/>
  <c r="K330" i="3"/>
  <c r="J330" i="3"/>
  <c r="N329" i="3"/>
  <c r="O329" i="3" s="1"/>
  <c r="M329" i="3"/>
  <c r="L329" i="3"/>
  <c r="K329" i="3"/>
  <c r="J329" i="3"/>
  <c r="N328" i="3"/>
  <c r="L328" i="3"/>
  <c r="J328" i="3"/>
  <c r="N327" i="3"/>
  <c r="M327" i="3"/>
  <c r="O327" i="3" s="1"/>
  <c r="L327" i="3"/>
  <c r="K327" i="3"/>
  <c r="J327" i="3"/>
  <c r="K326" i="3"/>
  <c r="J326" i="3"/>
  <c r="J325" i="3"/>
  <c r="M324" i="3"/>
  <c r="L324" i="3"/>
  <c r="J324" i="3"/>
  <c r="N323" i="3"/>
  <c r="K323" i="3"/>
  <c r="J323" i="3"/>
  <c r="M323" i="3" s="1"/>
  <c r="N322" i="3"/>
  <c r="M322" i="3"/>
  <c r="L322" i="3"/>
  <c r="K322" i="3"/>
  <c r="J322" i="3"/>
  <c r="N321" i="3"/>
  <c r="M321" i="3"/>
  <c r="L321" i="3"/>
  <c r="O321" i="3" s="1"/>
  <c r="K321" i="3"/>
  <c r="J321" i="3"/>
  <c r="N320" i="3"/>
  <c r="M320" i="3"/>
  <c r="L320" i="3"/>
  <c r="O320" i="3" s="1"/>
  <c r="K320" i="3"/>
  <c r="J320" i="3"/>
  <c r="N319" i="3"/>
  <c r="K319" i="3"/>
  <c r="J319" i="3"/>
  <c r="K318" i="3"/>
  <c r="J318" i="3"/>
  <c r="L317" i="3"/>
  <c r="K317" i="3"/>
  <c r="J317" i="3"/>
  <c r="N317" i="3" s="1"/>
  <c r="N316" i="3"/>
  <c r="M316" i="3"/>
  <c r="L316" i="3"/>
  <c r="K316" i="3"/>
  <c r="O316" i="3" s="1"/>
  <c r="J316" i="3"/>
  <c r="J315" i="3"/>
  <c r="N314" i="3"/>
  <c r="M314" i="3"/>
  <c r="L314" i="3"/>
  <c r="O314" i="3" s="1"/>
  <c r="K314" i="3"/>
  <c r="J314" i="3"/>
  <c r="J313" i="3"/>
  <c r="O312" i="3"/>
  <c r="N312" i="3"/>
  <c r="M312" i="3"/>
  <c r="L312" i="3"/>
  <c r="J312" i="3"/>
  <c r="K312" i="3" s="1"/>
  <c r="J311" i="3"/>
  <c r="O310" i="3"/>
  <c r="N310" i="3"/>
  <c r="L310" i="3"/>
  <c r="K310" i="3"/>
  <c r="J310" i="3"/>
  <c r="M310" i="3" s="1"/>
  <c r="M309" i="3"/>
  <c r="J309" i="3"/>
  <c r="N308" i="3"/>
  <c r="M308" i="3"/>
  <c r="J308" i="3"/>
  <c r="J307" i="3"/>
  <c r="L306" i="3"/>
  <c r="J306" i="3"/>
  <c r="N305" i="3"/>
  <c r="M305" i="3"/>
  <c r="K305" i="3"/>
  <c r="J305" i="3"/>
  <c r="L305" i="3" s="1"/>
  <c r="O305" i="3" s="1"/>
  <c r="N304" i="3"/>
  <c r="L304" i="3"/>
  <c r="K304" i="3"/>
  <c r="J304" i="3"/>
  <c r="O303" i="3"/>
  <c r="N303" i="3"/>
  <c r="M303" i="3"/>
  <c r="L303" i="3"/>
  <c r="J303" i="3"/>
  <c r="K303" i="3" s="1"/>
  <c r="N302" i="3"/>
  <c r="M302" i="3"/>
  <c r="K302" i="3"/>
  <c r="J302" i="3"/>
  <c r="N301" i="3"/>
  <c r="M301" i="3"/>
  <c r="L301" i="3"/>
  <c r="K301" i="3"/>
  <c r="J301" i="3"/>
  <c r="M300" i="3"/>
  <c r="L300" i="3"/>
  <c r="K300" i="3"/>
  <c r="J300" i="3"/>
  <c r="N300" i="3" s="1"/>
  <c r="N299" i="3"/>
  <c r="M299" i="3"/>
  <c r="K299" i="3"/>
  <c r="O299" i="3" s="1"/>
  <c r="J299" i="3"/>
  <c r="L299" i="3" s="1"/>
  <c r="N298" i="3"/>
  <c r="L298" i="3"/>
  <c r="K298" i="3"/>
  <c r="J298" i="3"/>
  <c r="M298" i="3" s="1"/>
  <c r="M297" i="3"/>
  <c r="K297" i="3"/>
  <c r="J297" i="3"/>
  <c r="J296" i="3"/>
  <c r="M295" i="3"/>
  <c r="J295" i="3"/>
  <c r="N294" i="3"/>
  <c r="M294" i="3"/>
  <c r="L294" i="3"/>
  <c r="K294" i="3"/>
  <c r="J294" i="3"/>
  <c r="N293" i="3"/>
  <c r="J293" i="3"/>
  <c r="J292" i="3"/>
  <c r="N291" i="3"/>
  <c r="L291" i="3"/>
  <c r="K291" i="3"/>
  <c r="J291" i="3"/>
  <c r="J290" i="3"/>
  <c r="J289" i="3"/>
  <c r="N288" i="3"/>
  <c r="L288" i="3"/>
  <c r="K288" i="3"/>
  <c r="J288" i="3"/>
  <c r="N287" i="3"/>
  <c r="L287" i="3"/>
  <c r="K287" i="3"/>
  <c r="J287" i="3"/>
  <c r="M287" i="3" s="1"/>
  <c r="O287" i="3" s="1"/>
  <c r="J286" i="3"/>
  <c r="O285" i="3"/>
  <c r="N285" i="3"/>
  <c r="M285" i="3"/>
  <c r="L285" i="3"/>
  <c r="K285" i="3"/>
  <c r="J285" i="3"/>
  <c r="K284" i="3"/>
  <c r="J284" i="3"/>
  <c r="O283" i="3"/>
  <c r="N283" i="3"/>
  <c r="M283" i="3"/>
  <c r="K283" i="3"/>
  <c r="J283" i="3"/>
  <c r="L283" i="3" s="1"/>
  <c r="M282" i="3"/>
  <c r="K282" i="3"/>
  <c r="J282" i="3"/>
  <c r="M281" i="3"/>
  <c r="K281" i="3"/>
  <c r="J281" i="3"/>
  <c r="L280" i="3"/>
  <c r="J280" i="3"/>
  <c r="M279" i="3"/>
  <c r="L279" i="3"/>
  <c r="J279" i="3"/>
  <c r="N278" i="3"/>
  <c r="L278" i="3"/>
  <c r="K278" i="3"/>
  <c r="J278" i="3"/>
  <c r="M278" i="3" s="1"/>
  <c r="N277" i="3"/>
  <c r="L277" i="3"/>
  <c r="K277" i="3"/>
  <c r="O277" i="3" s="1"/>
  <c r="J277" i="3"/>
  <c r="M277" i="3" s="1"/>
  <c r="J276" i="3"/>
  <c r="M275" i="3"/>
  <c r="L275" i="3"/>
  <c r="J275" i="3"/>
  <c r="L274" i="3"/>
  <c r="J274" i="3"/>
  <c r="J273" i="3"/>
  <c r="N272" i="3"/>
  <c r="L272" i="3"/>
  <c r="K272" i="3"/>
  <c r="J272" i="3"/>
  <c r="J271" i="3"/>
  <c r="N270" i="3"/>
  <c r="M270" i="3"/>
  <c r="K270" i="3"/>
  <c r="J270" i="3"/>
  <c r="N269" i="3"/>
  <c r="M269" i="3"/>
  <c r="L269" i="3"/>
  <c r="O269" i="3" s="1"/>
  <c r="K269" i="3"/>
  <c r="J269" i="3"/>
  <c r="M268" i="3"/>
  <c r="O268" i="3" s="1"/>
  <c r="L268" i="3"/>
  <c r="K268" i="3"/>
  <c r="J268" i="3"/>
  <c r="N268" i="3" s="1"/>
  <c r="N267" i="3"/>
  <c r="M267" i="3"/>
  <c r="K267" i="3"/>
  <c r="O267" i="3" s="1"/>
  <c r="J267" i="3"/>
  <c r="L267" i="3" s="1"/>
  <c r="N266" i="3"/>
  <c r="O266" i="3" s="1"/>
  <c r="M266" i="3"/>
  <c r="L266" i="3"/>
  <c r="K266" i="3"/>
  <c r="J266" i="3"/>
  <c r="J265" i="3"/>
  <c r="J264" i="3"/>
  <c r="L263" i="3"/>
  <c r="J263" i="3"/>
  <c r="L262" i="3"/>
  <c r="J262" i="3"/>
  <c r="J261" i="3"/>
  <c r="O260" i="3"/>
  <c r="N260" i="3"/>
  <c r="M260" i="3"/>
  <c r="L260" i="3"/>
  <c r="J260" i="3"/>
  <c r="K260" i="3" s="1"/>
  <c r="N259" i="3"/>
  <c r="M259" i="3"/>
  <c r="L259" i="3"/>
  <c r="K259" i="3"/>
  <c r="J259" i="3"/>
  <c r="J258" i="3"/>
  <c r="N257" i="3"/>
  <c r="M257" i="3"/>
  <c r="K257" i="3"/>
  <c r="J257" i="3"/>
  <c r="L257" i="3" s="1"/>
  <c r="O257" i="3" s="1"/>
  <c r="N256" i="3"/>
  <c r="L256" i="3"/>
  <c r="K256" i="3"/>
  <c r="J256" i="3"/>
  <c r="N255" i="3"/>
  <c r="M255" i="3"/>
  <c r="K255" i="3"/>
  <c r="J255" i="3"/>
  <c r="L255" i="3" s="1"/>
  <c r="O255" i="3" s="1"/>
  <c r="J254" i="3"/>
  <c r="N253" i="3"/>
  <c r="M253" i="3"/>
  <c r="O253" i="3" s="1"/>
  <c r="L253" i="3"/>
  <c r="K253" i="3"/>
  <c r="J253" i="3"/>
  <c r="J252" i="3"/>
  <c r="N251" i="3"/>
  <c r="M251" i="3"/>
  <c r="K251" i="3"/>
  <c r="O251" i="3" s="1"/>
  <c r="J251" i="3"/>
  <c r="L251" i="3" s="1"/>
  <c r="J250" i="3"/>
  <c r="J249" i="3"/>
  <c r="L248" i="3"/>
  <c r="K248" i="3"/>
  <c r="J248" i="3"/>
  <c r="N248" i="3" s="1"/>
  <c r="N247" i="3"/>
  <c r="L247" i="3"/>
  <c r="K247" i="3"/>
  <c r="O247" i="3" s="1"/>
  <c r="J247" i="3"/>
  <c r="M247" i="3" s="1"/>
  <c r="L246" i="3"/>
  <c r="K246" i="3"/>
  <c r="J246" i="3"/>
  <c r="N246" i="3" s="1"/>
  <c r="N245" i="3"/>
  <c r="M245" i="3"/>
  <c r="K245" i="3"/>
  <c r="J245" i="3"/>
  <c r="J244" i="3"/>
  <c r="J243" i="3"/>
  <c r="M243" i="3" s="1"/>
  <c r="O242" i="3"/>
  <c r="N242" i="3"/>
  <c r="L242" i="3"/>
  <c r="K242" i="3"/>
  <c r="J242" i="3"/>
  <c r="M242" i="3" s="1"/>
  <c r="K241" i="3"/>
  <c r="J241" i="3"/>
  <c r="N240" i="3"/>
  <c r="M240" i="3"/>
  <c r="K240" i="3"/>
  <c r="J240" i="3"/>
  <c r="L239" i="3"/>
  <c r="J239" i="3"/>
  <c r="J238" i="3"/>
  <c r="O237" i="3"/>
  <c r="N237" i="3"/>
  <c r="M237" i="3"/>
  <c r="L237" i="3"/>
  <c r="K237" i="3"/>
  <c r="J237" i="3"/>
  <c r="J236" i="3"/>
  <c r="J235" i="3"/>
  <c r="N234" i="3"/>
  <c r="M234" i="3"/>
  <c r="L234" i="3"/>
  <c r="K234" i="3"/>
  <c r="J234" i="3"/>
  <c r="M233" i="3"/>
  <c r="L233" i="3"/>
  <c r="J233" i="3"/>
  <c r="N232" i="3"/>
  <c r="M232" i="3"/>
  <c r="L232" i="3"/>
  <c r="K232" i="3"/>
  <c r="J232" i="3"/>
  <c r="O231" i="3"/>
  <c r="N231" i="3"/>
  <c r="L231" i="3"/>
  <c r="K231" i="3"/>
  <c r="J231" i="3"/>
  <c r="M231" i="3" s="1"/>
  <c r="N230" i="3"/>
  <c r="M230" i="3"/>
  <c r="K230" i="3"/>
  <c r="J230" i="3"/>
  <c r="J229" i="3"/>
  <c r="N228" i="3"/>
  <c r="L228" i="3"/>
  <c r="J228" i="3"/>
  <c r="K228" i="3" s="1"/>
  <c r="O227" i="3"/>
  <c r="M227" i="3"/>
  <c r="L227" i="3"/>
  <c r="K227" i="3"/>
  <c r="J227" i="3"/>
  <c r="N227" i="3" s="1"/>
  <c r="N226" i="3"/>
  <c r="L226" i="3"/>
  <c r="K226" i="3"/>
  <c r="O226" i="3" s="1"/>
  <c r="J226" i="3"/>
  <c r="M226" i="3" s="1"/>
  <c r="N225" i="3"/>
  <c r="O225" i="3" s="1"/>
  <c r="M225" i="3"/>
  <c r="L225" i="3"/>
  <c r="K225" i="3"/>
  <c r="J225" i="3"/>
  <c r="J224" i="3"/>
  <c r="N223" i="3"/>
  <c r="M223" i="3"/>
  <c r="O223" i="3" s="1"/>
  <c r="L223" i="3"/>
  <c r="K223" i="3"/>
  <c r="J223" i="3"/>
  <c r="J222" i="3"/>
  <c r="N221" i="3"/>
  <c r="M221" i="3"/>
  <c r="L221" i="3"/>
  <c r="K221" i="3"/>
  <c r="O221" i="3" s="1"/>
  <c r="J221" i="3"/>
  <c r="J220" i="3"/>
  <c r="J219" i="3"/>
  <c r="N218" i="3"/>
  <c r="M218" i="3"/>
  <c r="L218" i="3"/>
  <c r="K218" i="3"/>
  <c r="J218" i="3"/>
  <c r="M217" i="3"/>
  <c r="L217" i="3"/>
  <c r="J217" i="3"/>
  <c r="J216" i="3"/>
  <c r="O215" i="3"/>
  <c r="N215" i="3"/>
  <c r="L215" i="3"/>
  <c r="K215" i="3"/>
  <c r="J215" i="3"/>
  <c r="M215" i="3" s="1"/>
  <c r="K214" i="3"/>
  <c r="J214" i="3"/>
  <c r="N213" i="3"/>
  <c r="K213" i="3"/>
  <c r="J213" i="3"/>
  <c r="J212" i="3"/>
  <c r="K211" i="3"/>
  <c r="J211" i="3"/>
  <c r="N210" i="3"/>
  <c r="L210" i="3"/>
  <c r="O210" i="3" s="1"/>
  <c r="K210" i="3"/>
  <c r="J210" i="3"/>
  <c r="M210" i="3" s="1"/>
  <c r="K209" i="3"/>
  <c r="J209" i="3"/>
  <c r="N208" i="3"/>
  <c r="M208" i="3"/>
  <c r="K208" i="3"/>
  <c r="J208" i="3"/>
  <c r="L207" i="3"/>
  <c r="K207" i="3"/>
  <c r="J207" i="3"/>
  <c r="M207" i="3" s="1"/>
  <c r="J206" i="3"/>
  <c r="O205" i="3"/>
  <c r="N205" i="3"/>
  <c r="M205" i="3"/>
  <c r="L205" i="3"/>
  <c r="K205" i="3"/>
  <c r="J205" i="3"/>
  <c r="J204" i="3"/>
  <c r="J203" i="3"/>
  <c r="J202" i="3"/>
  <c r="J201" i="3"/>
  <c r="N200" i="3"/>
  <c r="K200" i="3"/>
  <c r="J200" i="3"/>
  <c r="N199" i="3"/>
  <c r="L199" i="3"/>
  <c r="K199" i="3"/>
  <c r="J199" i="3"/>
  <c r="M199" i="3" s="1"/>
  <c r="J198" i="3"/>
  <c r="J197" i="3"/>
  <c r="J196" i="3"/>
  <c r="M195" i="3"/>
  <c r="L195" i="3"/>
  <c r="K195" i="3"/>
  <c r="J195" i="3"/>
  <c r="N195" i="3" s="1"/>
  <c r="N194" i="3"/>
  <c r="L194" i="3"/>
  <c r="K194" i="3"/>
  <c r="J194" i="3"/>
  <c r="M194" i="3" s="1"/>
  <c r="N193" i="3"/>
  <c r="M193" i="3"/>
  <c r="L193" i="3"/>
  <c r="K193" i="3"/>
  <c r="O193" i="3" s="1"/>
  <c r="J193" i="3"/>
  <c r="J192" i="3"/>
  <c r="N191" i="3"/>
  <c r="M191" i="3"/>
  <c r="J191" i="3"/>
  <c r="M190" i="3"/>
  <c r="J190" i="3"/>
  <c r="N189" i="3"/>
  <c r="M189" i="3"/>
  <c r="L189" i="3"/>
  <c r="K189" i="3"/>
  <c r="O189" i="3" s="1"/>
  <c r="J189" i="3"/>
  <c r="J188" i="3"/>
  <c r="J187" i="3"/>
  <c r="N186" i="3"/>
  <c r="M186" i="3"/>
  <c r="L186" i="3"/>
  <c r="K186" i="3"/>
  <c r="J186" i="3"/>
  <c r="J185" i="3"/>
  <c r="L184" i="3"/>
  <c r="K184" i="3"/>
  <c r="J184" i="3"/>
  <c r="N184" i="3" s="1"/>
  <c r="O183" i="3"/>
  <c r="N183" i="3"/>
  <c r="L183" i="3"/>
  <c r="K183" i="3"/>
  <c r="J183" i="3"/>
  <c r="M183" i="3" s="1"/>
  <c r="J182" i="3"/>
  <c r="N182" i="3" s="1"/>
  <c r="J181" i="3"/>
  <c r="N180" i="3"/>
  <c r="M180" i="3"/>
  <c r="J180" i="3"/>
  <c r="K180" i="3" s="1"/>
  <c r="J179" i="3"/>
  <c r="N178" i="3"/>
  <c r="O178" i="3" s="1"/>
  <c r="M178" i="3"/>
  <c r="L178" i="3"/>
  <c r="K178" i="3"/>
  <c r="J178" i="3"/>
  <c r="M177" i="3"/>
  <c r="K177" i="3"/>
  <c r="J177" i="3"/>
  <c r="N176" i="3"/>
  <c r="M176" i="3"/>
  <c r="J176" i="3"/>
  <c r="K176" i="3" s="1"/>
  <c r="N175" i="3"/>
  <c r="M175" i="3"/>
  <c r="L175" i="3"/>
  <c r="K175" i="3"/>
  <c r="J175" i="3"/>
  <c r="J174" i="3"/>
  <c r="L173" i="3"/>
  <c r="K173" i="3"/>
  <c r="J173" i="3"/>
  <c r="N173" i="3" s="1"/>
  <c r="J172" i="3"/>
  <c r="N172" i="3" s="1"/>
  <c r="N171" i="3"/>
  <c r="O171" i="3" s="1"/>
  <c r="M171" i="3"/>
  <c r="L171" i="3"/>
  <c r="K171" i="3"/>
  <c r="J171" i="3"/>
  <c r="M170" i="3"/>
  <c r="L170" i="3"/>
  <c r="O170" i="3" s="1"/>
  <c r="K170" i="3"/>
  <c r="J170" i="3"/>
  <c r="N170" i="3" s="1"/>
  <c r="N169" i="3"/>
  <c r="M169" i="3"/>
  <c r="L169" i="3"/>
  <c r="K169" i="3"/>
  <c r="O169" i="3" s="1"/>
  <c r="J169" i="3"/>
  <c r="J168" i="3"/>
  <c r="J167" i="3"/>
  <c r="M167" i="3" s="1"/>
  <c r="J166" i="3"/>
  <c r="J165" i="3"/>
  <c r="L164" i="3"/>
  <c r="J164" i="3"/>
  <c r="N163" i="3"/>
  <c r="M163" i="3"/>
  <c r="L163" i="3"/>
  <c r="K163" i="3"/>
  <c r="O163" i="3" s="1"/>
  <c r="J163" i="3"/>
  <c r="J162" i="3"/>
  <c r="K162" i="3" s="1"/>
  <c r="N161" i="3"/>
  <c r="M161" i="3"/>
  <c r="L161" i="3"/>
  <c r="J161" i="3"/>
  <c r="K161" i="3" s="1"/>
  <c r="O161" i="3" s="1"/>
  <c r="J160" i="3"/>
  <c r="M160" i="3" s="1"/>
  <c r="N159" i="3"/>
  <c r="M159" i="3"/>
  <c r="J159" i="3"/>
  <c r="N158" i="3"/>
  <c r="L158" i="3"/>
  <c r="K158" i="3"/>
  <c r="J158" i="3"/>
  <c r="M158" i="3" s="1"/>
  <c r="J157" i="3"/>
  <c r="L156" i="3"/>
  <c r="K156" i="3"/>
  <c r="J156" i="3"/>
  <c r="O155" i="3"/>
  <c r="M155" i="3"/>
  <c r="L155" i="3"/>
  <c r="K155" i="3"/>
  <c r="J155" i="3"/>
  <c r="N155" i="3" s="1"/>
  <c r="N154" i="3"/>
  <c r="K154" i="3"/>
  <c r="J154" i="3"/>
  <c r="M154" i="3" s="1"/>
  <c r="N153" i="3"/>
  <c r="M153" i="3"/>
  <c r="L153" i="3"/>
  <c r="K153" i="3"/>
  <c r="O153" i="3" s="1"/>
  <c r="J153" i="3"/>
  <c r="L152" i="3"/>
  <c r="K152" i="3"/>
  <c r="J152" i="3"/>
  <c r="N152" i="3" s="1"/>
  <c r="J151" i="3"/>
  <c r="N150" i="3"/>
  <c r="M150" i="3"/>
  <c r="L150" i="3"/>
  <c r="O150" i="3" s="1"/>
  <c r="K150" i="3"/>
  <c r="J150" i="3"/>
  <c r="J149" i="3"/>
  <c r="N148" i="3"/>
  <c r="M148" i="3"/>
  <c r="L148" i="3"/>
  <c r="K148" i="3"/>
  <c r="O148" i="3" s="1"/>
  <c r="J148" i="3"/>
  <c r="J147" i="3"/>
  <c r="N146" i="3"/>
  <c r="M146" i="3"/>
  <c r="L146" i="3"/>
  <c r="J146" i="3"/>
  <c r="K146" i="3" s="1"/>
  <c r="M145" i="3"/>
  <c r="L145" i="3"/>
  <c r="K145" i="3"/>
  <c r="J145" i="3"/>
  <c r="J144" i="3"/>
  <c r="L143" i="3"/>
  <c r="K143" i="3"/>
  <c r="J143" i="3"/>
  <c r="M142" i="3"/>
  <c r="L142" i="3"/>
  <c r="K142" i="3"/>
  <c r="J142" i="3"/>
  <c r="N142" i="3" s="1"/>
  <c r="J141" i="3"/>
  <c r="N140" i="3"/>
  <c r="M140" i="3"/>
  <c r="J140" i="3"/>
  <c r="J139" i="3"/>
  <c r="J138" i="3"/>
  <c r="N137" i="3"/>
  <c r="M137" i="3"/>
  <c r="L137" i="3"/>
  <c r="J137" i="3"/>
  <c r="K137" i="3" s="1"/>
  <c r="O137" i="3" s="1"/>
  <c r="N136" i="3"/>
  <c r="M136" i="3"/>
  <c r="L136" i="3"/>
  <c r="K136" i="3"/>
  <c r="J136" i="3"/>
  <c r="N135" i="3"/>
  <c r="J135" i="3"/>
  <c r="N134" i="3"/>
  <c r="M134" i="3"/>
  <c r="L134" i="3"/>
  <c r="K134" i="3"/>
  <c r="O134" i="3" s="1"/>
  <c r="J134" i="3"/>
  <c r="N133" i="3"/>
  <c r="M133" i="3"/>
  <c r="L133" i="3"/>
  <c r="K133" i="3"/>
  <c r="J133" i="3"/>
  <c r="N132" i="3"/>
  <c r="M132" i="3"/>
  <c r="L132" i="3"/>
  <c r="K132" i="3"/>
  <c r="O132" i="3" s="1"/>
  <c r="J132" i="3"/>
  <c r="J131" i="3"/>
  <c r="N130" i="3"/>
  <c r="M130" i="3"/>
  <c r="L130" i="3"/>
  <c r="K130" i="3"/>
  <c r="O130" i="3" s="1"/>
  <c r="J130" i="3"/>
  <c r="L129" i="3"/>
  <c r="K129" i="3"/>
  <c r="J129" i="3"/>
  <c r="N128" i="3"/>
  <c r="K128" i="3"/>
  <c r="J128" i="3"/>
  <c r="L128" i="3" s="1"/>
  <c r="J127" i="3"/>
  <c r="M126" i="3"/>
  <c r="L126" i="3"/>
  <c r="K126" i="3"/>
  <c r="J126" i="3"/>
  <c r="N126" i="3" s="1"/>
  <c r="J125" i="3"/>
  <c r="J124" i="3"/>
  <c r="N123" i="3"/>
  <c r="M123" i="3"/>
  <c r="J123" i="3"/>
  <c r="L123" i="3" s="1"/>
  <c r="L122" i="3"/>
  <c r="J122" i="3"/>
  <c r="N121" i="3"/>
  <c r="M121" i="3"/>
  <c r="O121" i="3" s="1"/>
  <c r="L121" i="3"/>
  <c r="J121" i="3"/>
  <c r="K121" i="3" s="1"/>
  <c r="N120" i="3"/>
  <c r="M120" i="3"/>
  <c r="L120" i="3"/>
  <c r="K120" i="3"/>
  <c r="J120" i="3"/>
  <c r="J119" i="3"/>
  <c r="M119" i="3" s="1"/>
  <c r="M118" i="3"/>
  <c r="J118" i="3"/>
  <c r="N117" i="3"/>
  <c r="M117" i="3"/>
  <c r="L117" i="3"/>
  <c r="K117" i="3"/>
  <c r="O117" i="3" s="1"/>
  <c r="J117" i="3"/>
  <c r="N116" i="3"/>
  <c r="M116" i="3"/>
  <c r="L116" i="3"/>
  <c r="K116" i="3"/>
  <c r="J116" i="3"/>
  <c r="J115" i="3"/>
  <c r="K115" i="3" s="1"/>
  <c r="N114" i="3"/>
  <c r="M114" i="3"/>
  <c r="L114" i="3"/>
  <c r="K114" i="3"/>
  <c r="J114" i="3"/>
  <c r="L113" i="3"/>
  <c r="J113" i="3"/>
  <c r="J112" i="3"/>
  <c r="N111" i="3"/>
  <c r="M111" i="3"/>
  <c r="K111" i="3"/>
  <c r="J111" i="3"/>
  <c r="M110" i="3"/>
  <c r="L110" i="3"/>
  <c r="K110" i="3"/>
  <c r="O110" i="3" s="1"/>
  <c r="J110" i="3"/>
  <c r="N110" i="3" s="1"/>
  <c r="N109" i="3"/>
  <c r="M109" i="3"/>
  <c r="L109" i="3"/>
  <c r="K109" i="3"/>
  <c r="J109" i="3"/>
  <c r="J108" i="3"/>
  <c r="K107" i="3"/>
  <c r="J107" i="3"/>
  <c r="K106" i="3"/>
  <c r="J106" i="3"/>
  <c r="N105" i="3"/>
  <c r="L105" i="3"/>
  <c r="J105" i="3"/>
  <c r="J104" i="3"/>
  <c r="J103" i="3"/>
  <c r="J102" i="3"/>
  <c r="N101" i="3"/>
  <c r="M101" i="3"/>
  <c r="L101" i="3"/>
  <c r="K101" i="3"/>
  <c r="O101" i="3" s="1"/>
  <c r="J101" i="3"/>
  <c r="J100" i="3"/>
  <c r="N99" i="3"/>
  <c r="M99" i="3"/>
  <c r="J99" i="3"/>
  <c r="N98" i="3"/>
  <c r="M98" i="3"/>
  <c r="L98" i="3"/>
  <c r="O98" i="3" s="1"/>
  <c r="K98" i="3"/>
  <c r="J98" i="3"/>
  <c r="M97" i="3"/>
  <c r="L97" i="3"/>
  <c r="J97" i="3"/>
  <c r="N97" i="3" s="1"/>
  <c r="M96" i="3"/>
  <c r="K96" i="3"/>
  <c r="J96" i="3"/>
  <c r="J95" i="3"/>
  <c r="L94" i="3"/>
  <c r="K94" i="3"/>
  <c r="J94" i="3"/>
  <c r="J93" i="3"/>
  <c r="N93" i="3" s="1"/>
  <c r="L92" i="3"/>
  <c r="J92" i="3"/>
  <c r="L91" i="3"/>
  <c r="J91" i="3"/>
  <c r="K90" i="3"/>
  <c r="J90" i="3"/>
  <c r="N89" i="3"/>
  <c r="L89" i="3"/>
  <c r="J89" i="3"/>
  <c r="J88" i="3"/>
  <c r="N88" i="3" s="1"/>
  <c r="N87" i="3"/>
  <c r="L87" i="3"/>
  <c r="J87" i="3"/>
  <c r="N86" i="3"/>
  <c r="K86" i="3"/>
  <c r="J86" i="3"/>
  <c r="N85" i="3"/>
  <c r="M85" i="3"/>
  <c r="L85" i="3"/>
  <c r="K85" i="3"/>
  <c r="O85" i="3" s="1"/>
  <c r="J85" i="3"/>
  <c r="J84" i="3"/>
  <c r="J83" i="3"/>
  <c r="N82" i="3"/>
  <c r="M82" i="3"/>
  <c r="L82" i="3"/>
  <c r="K82" i="3"/>
  <c r="O82" i="3" s="1"/>
  <c r="J82" i="3"/>
  <c r="J81" i="3"/>
  <c r="K80" i="3"/>
  <c r="J80" i="3"/>
  <c r="N79" i="3"/>
  <c r="M79" i="3"/>
  <c r="K79" i="3"/>
  <c r="J79" i="3"/>
  <c r="J78" i="3"/>
  <c r="J77" i="3"/>
  <c r="N77" i="3" s="1"/>
  <c r="J76" i="3"/>
  <c r="N75" i="3"/>
  <c r="J75" i="3"/>
  <c r="J74" i="3"/>
  <c r="N73" i="3"/>
  <c r="M73" i="3"/>
  <c r="L73" i="3"/>
  <c r="J73" i="3"/>
  <c r="J72" i="3"/>
  <c r="K72" i="3" s="1"/>
  <c r="J71" i="3"/>
  <c r="J70" i="3"/>
  <c r="N69" i="3"/>
  <c r="M69" i="3"/>
  <c r="L69" i="3"/>
  <c r="K69" i="3"/>
  <c r="O69" i="3" s="1"/>
  <c r="J69" i="3"/>
  <c r="N68" i="3"/>
  <c r="M68" i="3"/>
  <c r="K68" i="3"/>
  <c r="J68" i="3"/>
  <c r="N67" i="3"/>
  <c r="K67" i="3"/>
  <c r="J67" i="3"/>
  <c r="L67" i="3" s="1"/>
  <c r="N66" i="3"/>
  <c r="M66" i="3"/>
  <c r="L66" i="3"/>
  <c r="K66" i="3"/>
  <c r="O66" i="3" s="1"/>
  <c r="J66" i="3"/>
  <c r="J65" i="3"/>
  <c r="N65" i="3" s="1"/>
  <c r="J64" i="3"/>
  <c r="L64" i="3" s="1"/>
  <c r="N63" i="3"/>
  <c r="M63" i="3"/>
  <c r="L63" i="3"/>
  <c r="K63" i="3"/>
  <c r="O63" i="3" s="1"/>
  <c r="J63" i="3"/>
  <c r="J62" i="3"/>
  <c r="K62" i="3" s="1"/>
  <c r="N61" i="3"/>
  <c r="M61" i="3"/>
  <c r="L61" i="3"/>
  <c r="O61" i="3" s="1"/>
  <c r="K61" i="3"/>
  <c r="J61" i="3"/>
  <c r="J60" i="3"/>
  <c r="J59" i="3"/>
  <c r="J58" i="3"/>
  <c r="L58" i="3" s="1"/>
  <c r="N57" i="3"/>
  <c r="J57" i="3"/>
  <c r="J56" i="3"/>
  <c r="M56" i="3" s="1"/>
  <c r="J55" i="3"/>
  <c r="J54" i="3"/>
  <c r="K54" i="3" s="1"/>
  <c r="N53" i="3"/>
  <c r="M53" i="3"/>
  <c r="L53" i="3"/>
  <c r="K53" i="3"/>
  <c r="J53" i="3"/>
  <c r="J52" i="3"/>
  <c r="N51" i="3"/>
  <c r="M51" i="3"/>
  <c r="L51" i="3"/>
  <c r="K51" i="3"/>
  <c r="O51" i="3" s="1"/>
  <c r="J51" i="3"/>
  <c r="N50" i="3"/>
  <c r="M50" i="3"/>
  <c r="L50" i="3"/>
  <c r="K50" i="3"/>
  <c r="O50" i="3" s="1"/>
  <c r="J50" i="3"/>
  <c r="J49" i="3"/>
  <c r="N48" i="3"/>
  <c r="M48" i="3"/>
  <c r="J48" i="3"/>
  <c r="J47" i="3"/>
  <c r="J46" i="3"/>
  <c r="J45" i="3"/>
  <c r="N44" i="3"/>
  <c r="M44" i="3"/>
  <c r="K44" i="3"/>
  <c r="J44" i="3"/>
  <c r="J43" i="3"/>
  <c r="N42" i="3"/>
  <c r="M42" i="3"/>
  <c r="L42" i="3"/>
  <c r="O42" i="3" s="1"/>
  <c r="J42" i="3"/>
  <c r="K42" i="3" s="1"/>
  <c r="N41" i="3"/>
  <c r="M41" i="3"/>
  <c r="O41" i="3" s="1"/>
  <c r="L41" i="3"/>
  <c r="K41" i="3"/>
  <c r="J41" i="3"/>
  <c r="N40" i="3"/>
  <c r="L40" i="3"/>
  <c r="J40" i="3"/>
  <c r="M40" i="3" s="1"/>
  <c r="J39" i="3"/>
  <c r="K39" i="3" s="1"/>
  <c r="N38" i="3"/>
  <c r="M38" i="3"/>
  <c r="L38" i="3"/>
  <c r="K38" i="3"/>
  <c r="J38" i="3"/>
  <c r="M37" i="3"/>
  <c r="L37" i="3"/>
  <c r="K37" i="3"/>
  <c r="J37" i="3"/>
  <c r="N36" i="3"/>
  <c r="M36" i="3"/>
  <c r="L36" i="3"/>
  <c r="K36" i="3"/>
  <c r="J36" i="3"/>
  <c r="N35" i="3"/>
  <c r="M35" i="3"/>
  <c r="L35" i="3"/>
  <c r="K35" i="3"/>
  <c r="O35" i="3" s="1"/>
  <c r="J35" i="3"/>
  <c r="N34" i="3"/>
  <c r="M34" i="3"/>
  <c r="L34" i="3"/>
  <c r="K34" i="3"/>
  <c r="J34" i="3"/>
  <c r="J33" i="3"/>
  <c r="L33" i="3" s="1"/>
  <c r="N32" i="3"/>
  <c r="M32" i="3"/>
  <c r="J32" i="3"/>
  <c r="J31" i="3"/>
  <c r="J30" i="3"/>
  <c r="J29" i="3"/>
  <c r="L29" i="3" s="1"/>
  <c r="M28" i="3"/>
  <c r="J28" i="3"/>
  <c r="J27" i="3"/>
  <c r="L27" i="3" s="1"/>
  <c r="M26" i="3"/>
  <c r="L26" i="3"/>
  <c r="K26" i="3"/>
  <c r="J26" i="3"/>
  <c r="N25" i="3"/>
  <c r="M25" i="3"/>
  <c r="L25" i="3"/>
  <c r="O25" i="3" s="1"/>
  <c r="K25" i="3"/>
  <c r="J25" i="3"/>
  <c r="N24" i="3"/>
  <c r="M24" i="3"/>
  <c r="O24" i="3" s="1"/>
  <c r="L24" i="3"/>
  <c r="J24" i="3"/>
  <c r="K24" i="3" s="1"/>
  <c r="J23" i="3"/>
  <c r="N22" i="3"/>
  <c r="M22" i="3"/>
  <c r="L22" i="3"/>
  <c r="O22" i="3" s="1"/>
  <c r="J22" i="3"/>
  <c r="K22" i="3" s="1"/>
  <c r="J21" i="3"/>
  <c r="L21" i="3" s="1"/>
  <c r="N20" i="3"/>
  <c r="M20" i="3"/>
  <c r="L20" i="3"/>
  <c r="J20" i="3"/>
  <c r="K20" i="3" s="1"/>
  <c r="O20" i="3" s="1"/>
  <c r="J19" i="3"/>
  <c r="L19" i="3" s="1"/>
  <c r="O18" i="3"/>
  <c r="N18" i="3"/>
  <c r="M18" i="3"/>
  <c r="L18" i="3"/>
  <c r="K18" i="3"/>
  <c r="J18" i="3"/>
  <c r="M17" i="3"/>
  <c r="K17" i="3"/>
  <c r="J17" i="3"/>
  <c r="N16" i="3"/>
  <c r="M16" i="3"/>
  <c r="J16" i="3"/>
  <c r="M15" i="3"/>
  <c r="K15" i="3"/>
  <c r="J15" i="3"/>
  <c r="N15" i="3" s="1"/>
  <c r="L14" i="3"/>
  <c r="K14" i="3"/>
  <c r="J14" i="3"/>
  <c r="K13" i="3"/>
  <c r="J13" i="3"/>
  <c r="M13" i="3" s="1"/>
  <c r="N12" i="3"/>
  <c r="M12" i="3"/>
  <c r="L12" i="3"/>
  <c r="K12" i="3"/>
  <c r="J12" i="3"/>
  <c r="J11" i="3"/>
  <c r="M11" i="3" s="1"/>
  <c r="N10" i="3"/>
  <c r="M10" i="3"/>
  <c r="L10" i="3"/>
  <c r="K10" i="3"/>
  <c r="J10" i="3"/>
  <c r="N9" i="3"/>
  <c r="M9" i="3"/>
  <c r="O9" i="3" s="1"/>
  <c r="L9" i="3"/>
  <c r="K9" i="3"/>
  <c r="J9" i="3"/>
  <c r="N8" i="3"/>
  <c r="M8" i="3"/>
  <c r="O8" i="3" s="1"/>
  <c r="L8" i="3"/>
  <c r="K8" i="3"/>
  <c r="J8" i="3"/>
  <c r="B45" i="2"/>
  <c r="B41" i="2"/>
  <c r="B34" i="2"/>
  <c r="B43" i="2" s="1"/>
  <c r="O15" i="2"/>
  <c r="N15" i="2"/>
  <c r="L15" i="2"/>
  <c r="J15" i="2"/>
  <c r="I15" i="2"/>
  <c r="H15" i="2"/>
  <c r="G15" i="2"/>
  <c r="D15" i="2"/>
  <c r="M13" i="2"/>
  <c r="K13" i="2"/>
  <c r="E13" i="2"/>
  <c r="F13" i="2" s="1"/>
  <c r="P13" i="2" s="1"/>
  <c r="K12" i="2"/>
  <c r="M12" i="2" s="1"/>
  <c r="E12" i="2"/>
  <c r="F12" i="2" s="1"/>
  <c r="P12" i="2" s="1"/>
  <c r="K11" i="2"/>
  <c r="F11" i="2"/>
  <c r="E11" i="2"/>
  <c r="K10" i="2"/>
  <c r="M10" i="2" s="1"/>
  <c r="E10" i="2"/>
  <c r="E15" i="2" s="1"/>
  <c r="H35" i="1"/>
  <c r="H34" i="1"/>
  <c r="H33" i="1"/>
  <c r="H32" i="1"/>
  <c r="H27" i="1"/>
  <c r="H26" i="1"/>
  <c r="H22" i="1"/>
  <c r="H21" i="1"/>
  <c r="H23" i="1" s="1"/>
  <c r="H18" i="1"/>
  <c r="H17" i="1"/>
  <c r="H16" i="1"/>
  <c r="H15" i="1"/>
  <c r="H14" i="1"/>
  <c r="H19" i="1" s="1"/>
  <c r="E10" i="1"/>
  <c r="E9" i="1"/>
  <c r="O14" i="3" l="1"/>
  <c r="H43" i="1"/>
  <c r="H24" i="1"/>
  <c r="L30" i="3"/>
  <c r="M204" i="3"/>
  <c r="N204" i="3"/>
  <c r="L204" i="3"/>
  <c r="K204" i="3"/>
  <c r="O204" i="3" s="1"/>
  <c r="N238" i="3"/>
  <c r="K238" i="3"/>
  <c r="L238" i="3"/>
  <c r="O238" i="3" s="1"/>
  <c r="M340" i="3"/>
  <c r="L340" i="3"/>
  <c r="K340" i="3"/>
  <c r="O340" i="3" s="1"/>
  <c r="N340" i="3"/>
  <c r="N652" i="3"/>
  <c r="M652" i="3"/>
  <c r="L652" i="3"/>
  <c r="O652" i="3"/>
  <c r="K652" i="3"/>
  <c r="L71" i="3"/>
  <c r="O71" i="3" s="1"/>
  <c r="M71" i="3"/>
  <c r="N71" i="3"/>
  <c r="N181" i="3"/>
  <c r="L181" i="3"/>
  <c r="M181" i="3"/>
  <c r="L49" i="3"/>
  <c r="M49" i="3"/>
  <c r="N49" i="3"/>
  <c r="L192" i="3"/>
  <c r="N192" i="3"/>
  <c r="M192" i="3"/>
  <c r="O192" i="3" s="1"/>
  <c r="L219" i="3"/>
  <c r="N219" i="3"/>
  <c r="M219" i="3"/>
  <c r="O219" i="3"/>
  <c r="L32" i="3"/>
  <c r="K32" i="3"/>
  <c r="O32" i="3" s="1"/>
  <c r="O36" i="3"/>
  <c r="K49" i="3"/>
  <c r="O49" i="3" s="1"/>
  <c r="O53" i="3"/>
  <c r="O146" i="3"/>
  <c r="K192" i="3"/>
  <c r="K219" i="3"/>
  <c r="M238" i="3"/>
  <c r="M11" i="2"/>
  <c r="P11" i="2" s="1"/>
  <c r="K15" i="2"/>
  <c r="K30" i="3"/>
  <c r="O30" i="3" s="1"/>
  <c r="N78" i="3"/>
  <c r="M78" i="3"/>
  <c r="K78" i="3"/>
  <c r="O78" i="3" s="1"/>
  <c r="K71" i="3"/>
  <c r="L78" i="3"/>
  <c r="K181" i="3"/>
  <c r="O181" i="3" s="1"/>
  <c r="N26" i="3"/>
  <c r="O26" i="3"/>
  <c r="K73" i="3"/>
  <c r="O73" i="3" s="1"/>
  <c r="M107" i="3"/>
  <c r="L107" i="3"/>
  <c r="O107" i="3" s="1"/>
  <c r="N107" i="3"/>
  <c r="L168" i="3"/>
  <c r="K168" i="3"/>
  <c r="O168" i="3" s="1"/>
  <c r="N168" i="3"/>
  <c r="M168" i="3"/>
  <c r="O100" i="3"/>
  <c r="O124" i="3"/>
  <c r="L83" i="3"/>
  <c r="O83" i="3" s="1"/>
  <c r="K83" i="3"/>
  <c r="N83" i="3"/>
  <c r="M83" i="3"/>
  <c r="K60" i="3"/>
  <c r="M60" i="3"/>
  <c r="L60" i="3"/>
  <c r="N60" i="3"/>
  <c r="O60" i="3"/>
  <c r="N55" i="3"/>
  <c r="M55" i="3"/>
  <c r="N81" i="3"/>
  <c r="K81" i="3"/>
  <c r="L81" i="3"/>
  <c r="M81" i="3"/>
  <c r="O81" i="3" s="1"/>
  <c r="L112" i="3"/>
  <c r="N112" i="3"/>
  <c r="O112" i="3" s="1"/>
  <c r="K112" i="3"/>
  <c r="M112" i="3"/>
  <c r="M102" i="3"/>
  <c r="L102" i="3"/>
  <c r="N102" i="3"/>
  <c r="K102" i="3"/>
  <c r="O102" i="3"/>
  <c r="M104" i="3"/>
  <c r="L104" i="3"/>
  <c r="O104" i="3" s="1"/>
  <c r="N47" i="3"/>
  <c r="K47" i="3"/>
  <c r="O47" i="3" s="1"/>
  <c r="L47" i="3"/>
  <c r="M47" i="3"/>
  <c r="N30" i="3"/>
  <c r="M30" i="3"/>
  <c r="L62" i="3"/>
  <c r="O62" i="3" s="1"/>
  <c r="M62" i="3"/>
  <c r="N62" i="3"/>
  <c r="N28" i="3"/>
  <c r="N95" i="3"/>
  <c r="M95" i="3"/>
  <c r="O95" i="3" s="1"/>
  <c r="K28" i="3"/>
  <c r="L55" i="3"/>
  <c r="K95" i="3"/>
  <c r="K104" i="3"/>
  <c r="N273" i="3"/>
  <c r="L273" i="3"/>
  <c r="K273" i="3"/>
  <c r="O273" i="3" s="1"/>
  <c r="N264" i="3"/>
  <c r="M264" i="3"/>
  <c r="L264" i="3"/>
  <c r="O264" i="3" s="1"/>
  <c r="K264" i="3"/>
  <c r="N315" i="3"/>
  <c r="K315" i="3"/>
  <c r="O315" i="3" s="1"/>
  <c r="M315" i="3"/>
  <c r="L315" i="3"/>
  <c r="M131" i="3"/>
  <c r="L131" i="3"/>
  <c r="N131" i="3"/>
  <c r="K131" i="3"/>
  <c r="O131" i="3" s="1"/>
  <c r="K64" i="3"/>
  <c r="N64" i="3"/>
  <c r="O64" i="3"/>
  <c r="O199" i="3"/>
  <c r="O34" i="3"/>
  <c r="K55" i="3"/>
  <c r="M64" i="3"/>
  <c r="O10" i="3"/>
  <c r="L28" i="3"/>
  <c r="O28" i="3" s="1"/>
  <c r="O55" i="3"/>
  <c r="M90" i="3"/>
  <c r="N90" i="3"/>
  <c r="L90" i="3"/>
  <c r="O90" i="3" s="1"/>
  <c r="L95" i="3"/>
  <c r="N104" i="3"/>
  <c r="O143" i="3"/>
  <c r="M143" i="3"/>
  <c r="N143" i="3"/>
  <c r="O158" i="3"/>
  <c r="M273" i="3"/>
  <c r="O126" i="3"/>
  <c r="K43" i="3"/>
  <c r="O43" i="3" s="1"/>
  <c r="L45" i="3"/>
  <c r="K58" i="3"/>
  <c r="K88" i="3"/>
  <c r="L93" i="3"/>
  <c r="L100" i="3"/>
  <c r="K105" i="3"/>
  <c r="O105" i="3" s="1"/>
  <c r="N115" i="3"/>
  <c r="M135" i="3"/>
  <c r="L135" i="3"/>
  <c r="K135" i="3"/>
  <c r="O135" i="3" s="1"/>
  <c r="L141" i="3"/>
  <c r="O141" i="3" s="1"/>
  <c r="L162" i="3"/>
  <c r="O162" i="3" s="1"/>
  <c r="O232" i="3"/>
  <c r="K243" i="3"/>
  <c r="O243" i="3" s="1"/>
  <c r="O294" i="3"/>
  <c r="N185" i="3"/>
  <c r="K185" i="3"/>
  <c r="L185" i="3"/>
  <c r="O185" i="3" s="1"/>
  <c r="K76" i="3"/>
  <c r="N76" i="3"/>
  <c r="M76" i="3"/>
  <c r="M220" i="3"/>
  <c r="K220" i="3"/>
  <c r="L220" i="3"/>
  <c r="O220" i="3" s="1"/>
  <c r="K45" i="3"/>
  <c r="O45" i="3" s="1"/>
  <c r="L235" i="3"/>
  <c r="M235" i="3"/>
  <c r="K235" i="3"/>
  <c r="O235" i="3" s="1"/>
  <c r="N235" i="3"/>
  <c r="K11" i="3"/>
  <c r="M74" i="3"/>
  <c r="N74" i="3"/>
  <c r="L74" i="3"/>
  <c r="M93" i="3"/>
  <c r="N113" i="3"/>
  <c r="O113" i="3" s="1"/>
  <c r="O115" i="3"/>
  <c r="N118" i="3"/>
  <c r="L118" i="3"/>
  <c r="O118" i="3" s="1"/>
  <c r="M141" i="3"/>
  <c r="L144" i="3"/>
  <c r="K144" i="3"/>
  <c r="O144" i="3" s="1"/>
  <c r="M144" i="3"/>
  <c r="M162" i="3"/>
  <c r="K196" i="3"/>
  <c r="O196" i="3" s="1"/>
  <c r="N196" i="3"/>
  <c r="M196" i="3"/>
  <c r="L196" i="3"/>
  <c r="M236" i="3"/>
  <c r="N236" i="3"/>
  <c r="L236" i="3"/>
  <c r="L243" i="3"/>
  <c r="L11" i="3"/>
  <c r="L13" i="3"/>
  <c r="O13" i="3" s="1"/>
  <c r="L15" i="3"/>
  <c r="O15" i="3" s="1"/>
  <c r="L17" i="3"/>
  <c r="K19" i="3"/>
  <c r="O19" i="3" s="1"/>
  <c r="K21" i="3"/>
  <c r="K23" i="3"/>
  <c r="O23" i="3" s="1"/>
  <c r="K27" i="3"/>
  <c r="O27" i="3" s="1"/>
  <c r="K29" i="3"/>
  <c r="O29" i="3" s="1"/>
  <c r="K31" i="3"/>
  <c r="O31" i="3" s="1"/>
  <c r="K33" i="3"/>
  <c r="O33" i="3" s="1"/>
  <c r="O37" i="3"/>
  <c r="N37" i="3"/>
  <c r="M43" i="3"/>
  <c r="N45" i="3"/>
  <c r="K56" i="3"/>
  <c r="K65" i="3"/>
  <c r="O65" i="3" s="1"/>
  <c r="M67" i="3"/>
  <c r="O67" i="3" s="1"/>
  <c r="K74" i="3"/>
  <c r="L79" i="3"/>
  <c r="O79" i="3" s="1"/>
  <c r="M86" i="3"/>
  <c r="L86" i="3"/>
  <c r="O86" i="3" s="1"/>
  <c r="K91" i="3"/>
  <c r="O91" i="3" s="1"/>
  <c r="L96" i="3"/>
  <c r="N96" i="3"/>
  <c r="O96" i="3" s="1"/>
  <c r="M105" i="3"/>
  <c r="K113" i="3"/>
  <c r="K118" i="3"/>
  <c r="N141" i="3"/>
  <c r="N144" i="3"/>
  <c r="L151" i="3"/>
  <c r="M151" i="3"/>
  <c r="K151" i="3"/>
  <c r="N151" i="3"/>
  <c r="N209" i="3"/>
  <c r="M209" i="3"/>
  <c r="L209" i="3"/>
  <c r="O209" i="3" s="1"/>
  <c r="L213" i="3"/>
  <c r="O213" i="3" s="1"/>
  <c r="M213" i="3"/>
  <c r="M228" i="3"/>
  <c r="O228" i="3" s="1"/>
  <c r="K236" i="3"/>
  <c r="O236" i="3" s="1"/>
  <c r="N336" i="3"/>
  <c r="L336" i="3"/>
  <c r="K336" i="3"/>
  <c r="O336" i="3" s="1"/>
  <c r="N100" i="3"/>
  <c r="M100" i="3"/>
  <c r="L224" i="3"/>
  <c r="N224" i="3"/>
  <c r="M224" i="3"/>
  <c r="K224" i="3"/>
  <c r="O224" i="3" s="1"/>
  <c r="N252" i="3"/>
  <c r="O252" i="3" s="1"/>
  <c r="M252" i="3"/>
  <c r="L252" i="3"/>
  <c r="K252" i="3"/>
  <c r="M45" i="3"/>
  <c r="M103" i="3"/>
  <c r="N11" i="3"/>
  <c r="O11" i="3" s="1"/>
  <c r="N13" i="3"/>
  <c r="N17" i="3"/>
  <c r="O17" i="3" s="1"/>
  <c r="M19" i="3"/>
  <c r="M21" i="3"/>
  <c r="O21" i="3" s="1"/>
  <c r="M27" i="3"/>
  <c r="M29" i="3"/>
  <c r="M31" i="3"/>
  <c r="M33" i="3"/>
  <c r="N179" i="3"/>
  <c r="M179" i="3"/>
  <c r="O179" i="3"/>
  <c r="K179" i="3"/>
  <c r="K244" i="3"/>
  <c r="M244" i="3"/>
  <c r="L244" i="3"/>
  <c r="N244" i="3"/>
  <c r="O244" i="3" s="1"/>
  <c r="N498" i="3"/>
  <c r="L498" i="3"/>
  <c r="O498" i="3" s="1"/>
  <c r="K498" i="3"/>
  <c r="M498" i="3"/>
  <c r="N19" i="3"/>
  <c r="N27" i="3"/>
  <c r="N29" i="3"/>
  <c r="N31" i="3"/>
  <c r="N33" i="3"/>
  <c r="L48" i="3"/>
  <c r="K48" i="3"/>
  <c r="O48" i="3" s="1"/>
  <c r="L52" i="3"/>
  <c r="L54" i="3"/>
  <c r="L77" i="3"/>
  <c r="L84" i="3"/>
  <c r="K89" i="3"/>
  <c r="O89" i="3"/>
  <c r="N91" i="3"/>
  <c r="N94" i="3"/>
  <c r="M94" i="3"/>
  <c r="O94" i="3" s="1"/>
  <c r="L103" i="3"/>
  <c r="O103" i="3" s="1"/>
  <c r="L108" i="3"/>
  <c r="O116" i="3"/>
  <c r="K119" i="3"/>
  <c r="O119" i="3" s="1"/>
  <c r="M124" i="3"/>
  <c r="O133" i="3"/>
  <c r="L139" i="3"/>
  <c r="N157" i="3"/>
  <c r="K167" i="3"/>
  <c r="L179" i="3"/>
  <c r="N214" i="3"/>
  <c r="O214" i="3" s="1"/>
  <c r="M214" i="3"/>
  <c r="L214" i="3"/>
  <c r="L229" i="3"/>
  <c r="M229" i="3"/>
  <c r="K229" i="3"/>
  <c r="O229" i="3" s="1"/>
  <c r="N229" i="3"/>
  <c r="N290" i="3"/>
  <c r="M290" i="3"/>
  <c r="K290" i="3"/>
  <c r="O290" i="3" s="1"/>
  <c r="L290" i="3"/>
  <c r="N318" i="3"/>
  <c r="L318" i="3"/>
  <c r="N216" i="3"/>
  <c r="M216" i="3"/>
  <c r="O93" i="3"/>
  <c r="M185" i="3"/>
  <c r="M58" i="3"/>
  <c r="O58" i="3" s="1"/>
  <c r="N58" i="3"/>
  <c r="M182" i="3"/>
  <c r="L182" i="3"/>
  <c r="O182" i="3" s="1"/>
  <c r="K182" i="3"/>
  <c r="L31" i="3"/>
  <c r="N43" i="3"/>
  <c r="M127" i="3"/>
  <c r="L127" i="3"/>
  <c r="K127" i="3"/>
  <c r="O127" i="3" s="1"/>
  <c r="L197" i="3"/>
  <c r="K197" i="3"/>
  <c r="O197" i="3" s="1"/>
  <c r="N197" i="3"/>
  <c r="K52" i="3"/>
  <c r="O52" i="3" s="1"/>
  <c r="K84" i="3"/>
  <c r="K103" i="3"/>
  <c r="K139" i="3"/>
  <c r="M197" i="3"/>
  <c r="N46" i="3"/>
  <c r="M46" i="3"/>
  <c r="L59" i="3"/>
  <c r="O59" i="3" s="1"/>
  <c r="K59" i="3"/>
  <c r="M77" i="3"/>
  <c r="N103" i="3"/>
  <c r="L119" i="3"/>
  <c r="M139" i="3"/>
  <c r="O139" i="3" s="1"/>
  <c r="M174" i="3"/>
  <c r="O174" i="3" s="1"/>
  <c r="L174" i="3"/>
  <c r="K174" i="3"/>
  <c r="L187" i="3"/>
  <c r="M187" i="3"/>
  <c r="L198" i="3"/>
  <c r="K198" i="3"/>
  <c r="N198" i="3"/>
  <c r="N206" i="3"/>
  <c r="K206" i="3"/>
  <c r="O206" i="3" s="1"/>
  <c r="O230" i="3"/>
  <c r="M172" i="3"/>
  <c r="L172" i="3"/>
  <c r="K172" i="3"/>
  <c r="O172" i="3" s="1"/>
  <c r="M311" i="3"/>
  <c r="L311" i="3"/>
  <c r="O311" i="3"/>
  <c r="N311" i="3"/>
  <c r="M336" i="3"/>
  <c r="K141" i="3"/>
  <c r="N243" i="3"/>
  <c r="M23" i="3"/>
  <c r="L23" i="3"/>
  <c r="N56" i="3"/>
  <c r="L56" i="3"/>
  <c r="O56" i="3" s="1"/>
  <c r="L65" i="3"/>
  <c r="N201" i="3"/>
  <c r="K201" i="3"/>
  <c r="M201" i="3"/>
  <c r="M72" i="3"/>
  <c r="L72" i="3"/>
  <c r="O72" i="3" s="1"/>
  <c r="M91" i="3"/>
  <c r="M113" i="3"/>
  <c r="L167" i="3"/>
  <c r="O167" i="3" s="1"/>
  <c r="L201" i="3"/>
  <c r="O201" i="3" s="1"/>
  <c r="M52" i="3"/>
  <c r="M54" i="3"/>
  <c r="N70" i="3"/>
  <c r="M70" i="3"/>
  <c r="N72" i="3"/>
  <c r="F10" i="2"/>
  <c r="O44" i="3"/>
  <c r="K46" i="3"/>
  <c r="O46" i="3" s="1"/>
  <c r="N52" i="3"/>
  <c r="N54" i="3"/>
  <c r="O54" i="3" s="1"/>
  <c r="M59" i="3"/>
  <c r="O68" i="3"/>
  <c r="K70" i="3"/>
  <c r="K75" i="3"/>
  <c r="L80" i="3"/>
  <c r="O80" i="3" s="1"/>
  <c r="N80" i="3"/>
  <c r="M89" i="3"/>
  <c r="M106" i="3"/>
  <c r="N106" i="3"/>
  <c r="L106" i="3"/>
  <c r="O106" i="3" s="1"/>
  <c r="N119" i="3"/>
  <c r="N139" i="3"/>
  <c r="O142" i="3"/>
  <c r="N167" i="3"/>
  <c r="N174" i="3"/>
  <c r="K187" i="3"/>
  <c r="O187" i="3" s="1"/>
  <c r="M198" i="3"/>
  <c r="L202" i="3"/>
  <c r="K202" i="3"/>
  <c r="O202" i="3" s="1"/>
  <c r="N202" i="3"/>
  <c r="M202" i="3"/>
  <c r="L206" i="3"/>
  <c r="N241" i="3"/>
  <c r="L241" i="3"/>
  <c r="O241" i="3" s="1"/>
  <c r="M318" i="3"/>
  <c r="O318" i="3" s="1"/>
  <c r="N165" i="3"/>
  <c r="M165" i="3"/>
  <c r="K165" i="3"/>
  <c r="M115" i="3"/>
  <c r="L115" i="3"/>
  <c r="L76" i="3"/>
  <c r="O76" i="3" s="1"/>
  <c r="N390" i="3"/>
  <c r="K390" i="3"/>
  <c r="O390" i="3" s="1"/>
  <c r="L390" i="3"/>
  <c r="M390" i="3"/>
  <c r="N23" i="3"/>
  <c r="O77" i="3"/>
  <c r="K108" i="3"/>
  <c r="O108" i="3" s="1"/>
  <c r="N108" i="3"/>
  <c r="M108" i="3"/>
  <c r="K160" i="3"/>
  <c r="O160" i="3" s="1"/>
  <c r="N160" i="3"/>
  <c r="L160" i="3"/>
  <c r="L46" i="3"/>
  <c r="M57" i="3"/>
  <c r="L57" i="3"/>
  <c r="N59" i="3"/>
  <c r="L70" i="3"/>
  <c r="L75" i="3"/>
  <c r="O75" i="3" s="1"/>
  <c r="M87" i="3"/>
  <c r="L99" i="3"/>
  <c r="O114" i="3"/>
  <c r="M125" i="3"/>
  <c r="L125" i="3"/>
  <c r="K125" i="3"/>
  <c r="N164" i="3"/>
  <c r="M164" i="3"/>
  <c r="N187" i="3"/>
  <c r="O198" i="3"/>
  <c r="M206" i="3"/>
  <c r="M254" i="3"/>
  <c r="N254" i="3"/>
  <c r="K254" i="3"/>
  <c r="O254" i="3" s="1"/>
  <c r="L286" i="3"/>
  <c r="M286" i="3"/>
  <c r="K286" i="3"/>
  <c r="O286" i="3" s="1"/>
  <c r="N162" i="3"/>
  <c r="L165" i="3"/>
  <c r="O165" i="3" s="1"/>
  <c r="K216" i="3"/>
  <c r="O216" i="3" s="1"/>
  <c r="M88" i="3"/>
  <c r="O88" i="3" s="1"/>
  <c r="L88" i="3"/>
  <c r="K93" i="3"/>
  <c r="K100" i="3"/>
  <c r="L216" i="3"/>
  <c r="N220" i="3"/>
  <c r="K311" i="3"/>
  <c r="N21" i="3"/>
  <c r="M39" i="3"/>
  <c r="L39" i="3"/>
  <c r="O39" i="3" s="1"/>
  <c r="L43" i="3"/>
  <c r="N39" i="3"/>
  <c r="N84" i="3"/>
  <c r="M84" i="3"/>
  <c r="O84" i="3" s="1"/>
  <c r="M157" i="3"/>
  <c r="L157" i="3"/>
  <c r="M65" i="3"/>
  <c r="K77" i="3"/>
  <c r="L124" i="3"/>
  <c r="K124" i="3"/>
  <c r="N124" i="3"/>
  <c r="N127" i="3"/>
  <c r="K157" i="3"/>
  <c r="O157" i="3" s="1"/>
  <c r="O12" i="3"/>
  <c r="N14" i="3"/>
  <c r="M14" i="3"/>
  <c r="L16" i="3"/>
  <c r="K16" i="3"/>
  <c r="O38" i="3"/>
  <c r="K40" i="3"/>
  <c r="O40" i="3" s="1"/>
  <c r="L44" i="3"/>
  <c r="K57" i="3"/>
  <c r="O57" i="3" s="1"/>
  <c r="L68" i="3"/>
  <c r="O70" i="3"/>
  <c r="M75" i="3"/>
  <c r="M80" i="3"/>
  <c r="K87" i="3"/>
  <c r="O87" i="3" s="1"/>
  <c r="K92" i="3"/>
  <c r="O92" i="3" s="1"/>
  <c r="N92" i="3"/>
  <c r="M92" i="3"/>
  <c r="K97" i="3"/>
  <c r="O97" i="3" s="1"/>
  <c r="K99" i="3"/>
  <c r="O99" i="3" s="1"/>
  <c r="O109" i="3"/>
  <c r="L111" i="3"/>
  <c r="O111" i="3" s="1"/>
  <c r="N122" i="3"/>
  <c r="M122" i="3"/>
  <c r="K122" i="3"/>
  <c r="N125" i="3"/>
  <c r="M128" i="3"/>
  <c r="O128" i="3" s="1"/>
  <c r="N149" i="3"/>
  <c r="M149" i="3"/>
  <c r="L149" i="3"/>
  <c r="O149" i="3"/>
  <c r="K149" i="3"/>
  <c r="K164" i="3"/>
  <c r="M241" i="3"/>
  <c r="L254" i="3"/>
  <c r="N286" i="3"/>
  <c r="M339" i="3"/>
  <c r="N339" i="3"/>
  <c r="L339" i="3"/>
  <c r="K339" i="3"/>
  <c r="O339" i="3" s="1"/>
  <c r="N177" i="3"/>
  <c r="O195" i="3"/>
  <c r="O207" i="3"/>
  <c r="O278" i="3"/>
  <c r="M326" i="3"/>
  <c r="N326" i="3"/>
  <c r="L326" i="3"/>
  <c r="O326" i="3" s="1"/>
  <c r="O120" i="3"/>
  <c r="O175" i="3"/>
  <c r="L177" i="3"/>
  <c r="O177" i="3" s="1"/>
  <c r="N190" i="3"/>
  <c r="K190" i="3"/>
  <c r="O190" i="3" s="1"/>
  <c r="L190" i="3"/>
  <c r="L230" i="3"/>
  <c r="M258" i="3"/>
  <c r="K258" i="3"/>
  <c r="N258" i="3"/>
  <c r="O258" i="3" s="1"/>
  <c r="L258" i="3"/>
  <c r="N306" i="3"/>
  <c r="M306" i="3"/>
  <c r="K306" i="3"/>
  <c r="O306" i="3" s="1"/>
  <c r="N129" i="3"/>
  <c r="O140" i="3"/>
  <c r="L140" i="3"/>
  <c r="K140" i="3"/>
  <c r="L191" i="3"/>
  <c r="K191" i="3"/>
  <c r="N307" i="3"/>
  <c r="M307" i="3"/>
  <c r="L307" i="3"/>
  <c r="O307" i="3" s="1"/>
  <c r="K307" i="3"/>
  <c r="N422" i="3"/>
  <c r="K422" i="3"/>
  <c r="M422" i="3"/>
  <c r="O422" i="3" s="1"/>
  <c r="K430" i="3"/>
  <c r="M430" i="3"/>
  <c r="O430" i="3" s="1"/>
  <c r="N147" i="3"/>
  <c r="M147" i="3"/>
  <c r="M188" i="3"/>
  <c r="K188" i="3"/>
  <c r="N188" i="3"/>
  <c r="L188" i="3"/>
  <c r="N211" i="3"/>
  <c r="M211" i="3"/>
  <c r="N271" i="3"/>
  <c r="M271" i="3"/>
  <c r="L271" i="3"/>
  <c r="K271" i="3"/>
  <c r="O280" i="3"/>
  <c r="N280" i="3"/>
  <c r="K280" i="3"/>
  <c r="O300" i="3"/>
  <c r="K147" i="3"/>
  <c r="L203" i="3"/>
  <c r="K203" i="3"/>
  <c r="N249" i="3"/>
  <c r="L249" i="3"/>
  <c r="K249" i="3"/>
  <c r="O249" i="3" s="1"/>
  <c r="L292" i="3"/>
  <c r="K292" i="3"/>
  <c r="N292" i="3"/>
  <c r="L335" i="3"/>
  <c r="O335" i="3" s="1"/>
  <c r="O338" i="3"/>
  <c r="N138" i="3"/>
  <c r="M138" i="3"/>
  <c r="M166" i="3"/>
  <c r="L166" i="3"/>
  <c r="K123" i="3"/>
  <c r="O123" i="3" s="1"/>
  <c r="M129" i="3"/>
  <c r="O129" i="3" s="1"/>
  <c r="O136" i="3"/>
  <c r="K138" i="3"/>
  <c r="N145" i="3"/>
  <c r="O145" i="3" s="1"/>
  <c r="L147" i="3"/>
  <c r="M152" i="3"/>
  <c r="O152" i="3" s="1"/>
  <c r="L154" i="3"/>
  <c r="O154" i="3" s="1"/>
  <c r="M156" i="3"/>
  <c r="O156" i="3" s="1"/>
  <c r="L159" i="3"/>
  <c r="K159" i="3"/>
  <c r="O159" i="3" s="1"/>
  <c r="K166" i="3"/>
  <c r="M173" i="3"/>
  <c r="O173" i="3" s="1"/>
  <c r="O191" i="3"/>
  <c r="M203" i="3"/>
  <c r="L211" i="3"/>
  <c r="O211" i="3" s="1"/>
  <c r="M249" i="3"/>
  <c r="M280" i="3"/>
  <c r="M292" i="3"/>
  <c r="O292" i="3" s="1"/>
  <c r="K335" i="3"/>
  <c r="M371" i="3"/>
  <c r="L371" i="3"/>
  <c r="N371" i="3"/>
  <c r="O371" i="3" s="1"/>
  <c r="K371" i="3"/>
  <c r="L138" i="3"/>
  <c r="O147" i="3"/>
  <c r="N156" i="3"/>
  <c r="N166" i="3"/>
  <c r="O194" i="3"/>
  <c r="M200" i="3"/>
  <c r="O200" i="3" s="1"/>
  <c r="L200" i="3"/>
  <c r="N203" i="3"/>
  <c r="N281" i="3"/>
  <c r="L281" i="3"/>
  <c r="O281" i="3"/>
  <c r="N284" i="3"/>
  <c r="L284" i="3"/>
  <c r="O284" i="3"/>
  <c r="M284" i="3"/>
  <c r="M335" i="3"/>
  <c r="M361" i="3"/>
  <c r="K361" i="3"/>
  <c r="O361" i="3" s="1"/>
  <c r="K435" i="3"/>
  <c r="O435" i="3" s="1"/>
  <c r="N435" i="3"/>
  <c r="M435" i="3"/>
  <c r="L435" i="3"/>
  <c r="O298" i="3"/>
  <c r="O301" i="3"/>
  <c r="N332" i="3"/>
  <c r="K332" i="3"/>
  <c r="O332" i="3" s="1"/>
  <c r="M367" i="3"/>
  <c r="N367" i="3"/>
  <c r="L367" i="3"/>
  <c r="O367" i="3" s="1"/>
  <c r="O414" i="3"/>
  <c r="N239" i="3"/>
  <c r="M239" i="3"/>
  <c r="N295" i="3"/>
  <c r="K295" i="3"/>
  <c r="O295" i="3" s="1"/>
  <c r="N309" i="3"/>
  <c r="K309" i="3"/>
  <c r="O309" i="3" s="1"/>
  <c r="N333" i="3"/>
  <c r="M333" i="3"/>
  <c r="O333" i="3"/>
  <c r="K401" i="3"/>
  <c r="N401" i="3"/>
  <c r="L401" i="3"/>
  <c r="O401" i="3" s="1"/>
  <c r="M401" i="3"/>
  <c r="N217" i="3"/>
  <c r="K217" i="3"/>
  <c r="O234" i="3"/>
  <c r="K239" i="3"/>
  <c r="K275" i="3"/>
  <c r="O275" i="3" s="1"/>
  <c r="L295" i="3"/>
  <c r="L309" i="3"/>
  <c r="O330" i="3"/>
  <c r="K333" i="3"/>
  <c r="K493" i="3"/>
  <c r="O493" i="3" s="1"/>
  <c r="L493" i="3"/>
  <c r="M493" i="3"/>
  <c r="M261" i="3"/>
  <c r="N261" i="3"/>
  <c r="L261" i="3"/>
  <c r="K261" i="3"/>
  <c r="O261" i="3" s="1"/>
  <c r="N265" i="3"/>
  <c r="L265" i="3"/>
  <c r="K265" i="3"/>
  <c r="M265" i="3"/>
  <c r="O265" i="3" s="1"/>
  <c r="L313" i="3"/>
  <c r="O313" i="3" s="1"/>
  <c r="N313" i="3"/>
  <c r="M313" i="3"/>
  <c r="K313" i="3"/>
  <c r="N411" i="3"/>
  <c r="M411" i="3"/>
  <c r="K411" i="3"/>
  <c r="O411" i="3" s="1"/>
  <c r="L411" i="3"/>
  <c r="K212" i="3"/>
  <c r="M212" i="3"/>
  <c r="L212" i="3"/>
  <c r="N222" i="3"/>
  <c r="K222" i="3"/>
  <c r="O222" i="3" s="1"/>
  <c r="L222" i="3"/>
  <c r="O250" i="3"/>
  <c r="N250" i="3"/>
  <c r="L250" i="3"/>
  <c r="K250" i="3"/>
  <c r="N349" i="3"/>
  <c r="L349" i="3"/>
  <c r="M402" i="3"/>
  <c r="K402" i="3"/>
  <c r="O402" i="3" s="1"/>
  <c r="N402" i="3"/>
  <c r="L402" i="3"/>
  <c r="O541" i="3"/>
  <c r="N541" i="3"/>
  <c r="M541" i="3"/>
  <c r="L541" i="3"/>
  <c r="K541" i="3"/>
  <c r="M184" i="3"/>
  <c r="O184" i="3" s="1"/>
  <c r="N207" i="3"/>
  <c r="N212" i="3"/>
  <c r="M222" i="3"/>
  <c r="M250" i="3"/>
  <c r="O256" i="3"/>
  <c r="N262" i="3"/>
  <c r="M262" i="3"/>
  <c r="N275" i="3"/>
  <c r="N289" i="3"/>
  <c r="M289" i="3"/>
  <c r="L289" i="3"/>
  <c r="K289" i="3"/>
  <c r="O289" i="3" s="1"/>
  <c r="K349" i="3"/>
  <c r="O349" i="3" s="1"/>
  <c r="N374" i="3"/>
  <c r="K374" i="3"/>
  <c r="L374" i="3"/>
  <c r="O374" i="3"/>
  <c r="O443" i="3"/>
  <c r="L176" i="3"/>
  <c r="O176" i="3" s="1"/>
  <c r="L180" i="3"/>
  <c r="O180" i="3" s="1"/>
  <c r="O212" i="3"/>
  <c r="L245" i="3"/>
  <c r="O245" i="3" s="1"/>
  <c r="K262" i="3"/>
  <c r="N345" i="3"/>
  <c r="L345" i="3"/>
  <c r="O345" i="3" s="1"/>
  <c r="M349" i="3"/>
  <c r="N473" i="3"/>
  <c r="L473" i="3"/>
  <c r="K473" i="3"/>
  <c r="O473" i="3" s="1"/>
  <c r="O370" i="3"/>
  <c r="N370" i="3"/>
  <c r="M370" i="3"/>
  <c r="L370" i="3"/>
  <c r="N395" i="3"/>
  <c r="M395" i="3"/>
  <c r="K395" i="3"/>
  <c r="L395" i="3"/>
  <c r="M404" i="3"/>
  <c r="O404" i="3"/>
  <c r="M468" i="3"/>
  <c r="K468" i="3"/>
  <c r="O468" i="3"/>
  <c r="O186" i="3"/>
  <c r="O218" i="3"/>
  <c r="M293" i="3"/>
  <c r="L293" i="3"/>
  <c r="N343" i="3"/>
  <c r="L343" i="3"/>
  <c r="O442" i="3"/>
  <c r="O633" i="3"/>
  <c r="M633" i="3"/>
  <c r="K633" i="3"/>
  <c r="N633" i="3"/>
  <c r="N233" i="3"/>
  <c r="K233" i="3"/>
  <c r="O233" i="3" s="1"/>
  <c r="K276" i="3"/>
  <c r="O276" i="3" s="1"/>
  <c r="N276" i="3"/>
  <c r="M276" i="3"/>
  <c r="L276" i="3"/>
  <c r="N279" i="3"/>
  <c r="K279" i="3"/>
  <c r="O279" i="3" s="1"/>
  <c r="L282" i="3"/>
  <c r="O282" i="3" s="1"/>
  <c r="K293" i="3"/>
  <c r="N296" i="3"/>
  <c r="M296" i="3"/>
  <c r="L296" i="3"/>
  <c r="K296" i="3"/>
  <c r="O296" i="3" s="1"/>
  <c r="O304" i="3"/>
  <c r="K343" i="3"/>
  <c r="O343" i="3" s="1"/>
  <c r="O375" i="3"/>
  <c r="N446" i="3"/>
  <c r="M446" i="3"/>
  <c r="L446" i="3"/>
  <c r="K446" i="3"/>
  <c r="O446" i="3" s="1"/>
  <c r="N465" i="3"/>
  <c r="M465" i="3"/>
  <c r="L465" i="3"/>
  <c r="K465" i="3"/>
  <c r="O465" i="3"/>
  <c r="O537" i="3"/>
  <c r="M537" i="3"/>
  <c r="L537" i="3"/>
  <c r="O555" i="3"/>
  <c r="N555" i="3"/>
  <c r="M555" i="3"/>
  <c r="K555" i="3"/>
  <c r="L633" i="3"/>
  <c r="M325" i="3"/>
  <c r="L325" i="3"/>
  <c r="K325" i="3"/>
  <c r="N387" i="3"/>
  <c r="L387" i="3"/>
  <c r="K387" i="3"/>
  <c r="O387" i="3" s="1"/>
  <c r="L392" i="3"/>
  <c r="O392" i="3"/>
  <c r="N392" i="3"/>
  <c r="M392" i="3"/>
  <c r="N325" i="3"/>
  <c r="L351" i="3"/>
  <c r="M351" i="3"/>
  <c r="M387" i="3"/>
  <c r="K392" i="3"/>
  <c r="K416" i="3"/>
  <c r="O416" i="3" s="1"/>
  <c r="O466" i="3"/>
  <c r="M466" i="3"/>
  <c r="N466" i="3"/>
  <c r="L466" i="3"/>
  <c r="K466" i="3"/>
  <c r="M246" i="3"/>
  <c r="O246" i="3" s="1"/>
  <c r="M248" i="3"/>
  <c r="O248" i="3" s="1"/>
  <c r="N282" i="3"/>
  <c r="O325" i="3"/>
  <c r="K351" i="3"/>
  <c r="O351" i="3" s="1"/>
  <c r="L397" i="3"/>
  <c r="N397" i="3"/>
  <c r="K397" i="3"/>
  <c r="O397" i="3" s="1"/>
  <c r="L416" i="3"/>
  <c r="O208" i="3"/>
  <c r="L208" i="3"/>
  <c r="L240" i="3"/>
  <c r="O240" i="3" s="1"/>
  <c r="N263" i="3"/>
  <c r="K263" i="3"/>
  <c r="M263" i="3"/>
  <c r="O263" i="3" s="1"/>
  <c r="N297" i="3"/>
  <c r="L297" i="3"/>
  <c r="O297" i="3" s="1"/>
  <c r="L308" i="3"/>
  <c r="K308" i="3"/>
  <c r="O308" i="3" s="1"/>
  <c r="N351" i="3"/>
  <c r="M397" i="3"/>
  <c r="O410" i="3"/>
  <c r="M416" i="3"/>
  <c r="M359" i="3"/>
  <c r="K359" i="3"/>
  <c r="N365" i="3"/>
  <c r="L365" i="3"/>
  <c r="O365" i="3" s="1"/>
  <c r="L381" i="3"/>
  <c r="K381" i="3"/>
  <c r="O381" i="3" s="1"/>
  <c r="N381" i="3"/>
  <c r="O398" i="3"/>
  <c r="N405" i="3"/>
  <c r="L405" i="3"/>
  <c r="M405" i="3"/>
  <c r="O405" i="3" s="1"/>
  <c r="L302" i="3"/>
  <c r="O302" i="3" s="1"/>
  <c r="K328" i="3"/>
  <c r="M328" i="3"/>
  <c r="N359" i="3"/>
  <c r="M365" i="3"/>
  <c r="O259" i="3"/>
  <c r="M291" i="3"/>
  <c r="O291" i="3" s="1"/>
  <c r="L319" i="3"/>
  <c r="M319" i="3"/>
  <c r="O319" i="3" s="1"/>
  <c r="N347" i="3"/>
  <c r="L347" i="3"/>
  <c r="O388" i="3"/>
  <c r="N409" i="3"/>
  <c r="L409" i="3"/>
  <c r="O409" i="3"/>
  <c r="M581" i="3"/>
  <c r="L581" i="3"/>
  <c r="K581" i="3"/>
  <c r="O581" i="3"/>
  <c r="M274" i="3"/>
  <c r="K274" i="3"/>
  <c r="M549" i="3"/>
  <c r="L549" i="3"/>
  <c r="K549" i="3"/>
  <c r="O549" i="3"/>
  <c r="O272" i="3"/>
  <c r="O324" i="3"/>
  <c r="N324" i="3"/>
  <c r="L355" i="3"/>
  <c r="N355" i="3"/>
  <c r="K355" i="3"/>
  <c r="O355" i="3" s="1"/>
  <c r="M363" i="3"/>
  <c r="K363" i="3"/>
  <c r="O363" i="3" s="1"/>
  <c r="K369" i="3"/>
  <c r="N369" i="3"/>
  <c r="O369" i="3"/>
  <c r="L376" i="3"/>
  <c r="M376" i="3"/>
  <c r="O376" i="3" s="1"/>
  <c r="M436" i="3"/>
  <c r="N436" i="3"/>
  <c r="L436" i="3"/>
  <c r="K436" i="3"/>
  <c r="O436" i="3" s="1"/>
  <c r="N441" i="3"/>
  <c r="M441" i="3"/>
  <c r="L441" i="3"/>
  <c r="N475" i="3"/>
  <c r="L475" i="3"/>
  <c r="N549" i="3"/>
  <c r="L270" i="3"/>
  <c r="O270" i="3" s="1"/>
  <c r="N274" i="3"/>
  <c r="K324" i="3"/>
  <c r="O347" i="3"/>
  <c r="M355" i="3"/>
  <c r="L363" i="3"/>
  <c r="L369" i="3"/>
  <c r="K376" i="3"/>
  <c r="K441" i="3"/>
  <c r="O441" i="3" s="1"/>
  <c r="M450" i="3"/>
  <c r="N450" i="3"/>
  <c r="K450" i="3"/>
  <c r="O450" i="3" s="1"/>
  <c r="K475" i="3"/>
  <c r="O475" i="3" s="1"/>
  <c r="O603" i="3"/>
  <c r="N603" i="3"/>
  <c r="M603" i="3"/>
  <c r="K603" i="3"/>
  <c r="O322" i="3"/>
  <c r="N393" i="3"/>
  <c r="L393" i="3"/>
  <c r="O393" i="3"/>
  <c r="M393" i="3"/>
  <c r="N419" i="3"/>
  <c r="L419" i="3"/>
  <c r="K419" i="3"/>
  <c r="O419" i="3"/>
  <c r="N437" i="3"/>
  <c r="K437" i="3"/>
  <c r="O437" i="3" s="1"/>
  <c r="O445" i="3"/>
  <c r="O455" i="3"/>
  <c r="K385" i="3"/>
  <c r="N385" i="3"/>
  <c r="L385" i="3"/>
  <c r="O385" i="3" s="1"/>
  <c r="N407" i="3"/>
  <c r="L407" i="3"/>
  <c r="O483" i="3"/>
  <c r="O490" i="3"/>
  <c r="O525" i="3"/>
  <c r="N525" i="3"/>
  <c r="M525" i="3"/>
  <c r="L525" i="3"/>
  <c r="K525" i="3"/>
  <c r="L330" i="3"/>
  <c r="M407" i="3"/>
  <c r="M433" i="3"/>
  <c r="K433" i="3"/>
  <c r="N433" i="3"/>
  <c r="L433" i="3"/>
  <c r="O433" i="3" s="1"/>
  <c r="L443" i="3"/>
  <c r="M462" i="3"/>
  <c r="L462" i="3"/>
  <c r="K462" i="3"/>
  <c r="O462" i="3" s="1"/>
  <c r="O480" i="3"/>
  <c r="O637" i="3"/>
  <c r="N637" i="3"/>
  <c r="M637" i="3"/>
  <c r="L637" i="3"/>
  <c r="K637" i="3"/>
  <c r="M256" i="3"/>
  <c r="M272" i="3"/>
  <c r="M288" i="3"/>
  <c r="O288" i="3" s="1"/>
  <c r="M304" i="3"/>
  <c r="M317" i="3"/>
  <c r="O317" i="3" s="1"/>
  <c r="M334" i="3"/>
  <c r="O334" i="3" s="1"/>
  <c r="M372" i="3"/>
  <c r="O372" i="3" s="1"/>
  <c r="N379" i="3"/>
  <c r="K379" i="3"/>
  <c r="O379" i="3" s="1"/>
  <c r="O386" i="3"/>
  <c r="N388" i="3"/>
  <c r="M398" i="3"/>
  <c r="M400" i="3"/>
  <c r="O400" i="3" s="1"/>
  <c r="N420" i="3"/>
  <c r="O420" i="3" s="1"/>
  <c r="N470" i="3"/>
  <c r="K470" i="3"/>
  <c r="O470" i="3" s="1"/>
  <c r="M480" i="3"/>
  <c r="O569" i="3"/>
  <c r="M569" i="3"/>
  <c r="N569" i="3"/>
  <c r="L569" i="3"/>
  <c r="K569" i="3"/>
  <c r="N391" i="3"/>
  <c r="O391" i="3" s="1"/>
  <c r="L391" i="3"/>
  <c r="N403" i="3"/>
  <c r="L403" i="3"/>
  <c r="L323" i="3"/>
  <c r="O323" i="3" s="1"/>
  <c r="L338" i="3"/>
  <c r="K344" i="3"/>
  <c r="O344" i="3" s="1"/>
  <c r="K346" i="3"/>
  <c r="O346" i="3" s="1"/>
  <c r="L348" i="3"/>
  <c r="O348" i="3" s="1"/>
  <c r="L350" i="3"/>
  <c r="O350" i="3" s="1"/>
  <c r="O356" i="3"/>
  <c r="K364" i="3"/>
  <c r="O364" i="3" s="1"/>
  <c r="M366" i="3"/>
  <c r="O366" i="3" s="1"/>
  <c r="K377" i="3"/>
  <c r="O377" i="3" s="1"/>
  <c r="M379" i="3"/>
  <c r="L386" i="3"/>
  <c r="K391" i="3"/>
  <c r="L396" i="3"/>
  <c r="O396" i="3" s="1"/>
  <c r="K403" i="3"/>
  <c r="O418" i="3"/>
  <c r="M470" i="3"/>
  <c r="L497" i="3"/>
  <c r="K497" i="3"/>
  <c r="O557" i="3"/>
  <c r="N557" i="3"/>
  <c r="M557" i="3"/>
  <c r="L557" i="3"/>
  <c r="K557" i="3"/>
  <c r="L346" i="3"/>
  <c r="M348" i="3"/>
  <c r="K360" i="3"/>
  <c r="O360" i="3" s="1"/>
  <c r="M364" i="3"/>
  <c r="N366" i="3"/>
  <c r="M377" i="3"/>
  <c r="M386" i="3"/>
  <c r="M391" i="3"/>
  <c r="M403" i="3"/>
  <c r="L413" i="3"/>
  <c r="O413" i="3" s="1"/>
  <c r="N413" i="3"/>
  <c r="K413" i="3"/>
  <c r="K418" i="3"/>
  <c r="O444" i="3"/>
  <c r="O463" i="3"/>
  <c r="M497" i="3"/>
  <c r="N346" i="3"/>
  <c r="N348" i="3"/>
  <c r="N364" i="3"/>
  <c r="N377" i="3"/>
  <c r="N389" i="3"/>
  <c r="L389" i="3"/>
  <c r="O389" i="3" s="1"/>
  <c r="N406" i="3"/>
  <c r="K406" i="3"/>
  <c r="O406" i="3" s="1"/>
  <c r="N448" i="3"/>
  <c r="M448" i="3"/>
  <c r="O448" i="3" s="1"/>
  <c r="N456" i="3"/>
  <c r="M456" i="3"/>
  <c r="L456" i="3"/>
  <c r="O456" i="3" s="1"/>
  <c r="N471" i="3"/>
  <c r="M471" i="3"/>
  <c r="O471" i="3" s="1"/>
  <c r="O478" i="3"/>
  <c r="N497" i="3"/>
  <c r="N481" i="3"/>
  <c r="M481" i="3"/>
  <c r="O481" i="3" s="1"/>
  <c r="L481" i="3"/>
  <c r="K481" i="3"/>
  <c r="M501" i="3"/>
  <c r="L501" i="3"/>
  <c r="N501" i="3"/>
  <c r="N508" i="3"/>
  <c r="M508" i="3"/>
  <c r="N604" i="3"/>
  <c r="M604" i="3"/>
  <c r="L604" i="3"/>
  <c r="O604" i="3"/>
  <c r="O619" i="3"/>
  <c r="N619" i="3"/>
  <c r="M619" i="3"/>
  <c r="K619" i="3"/>
  <c r="K421" i="3"/>
  <c r="O421" i="3" s="1"/>
  <c r="K423" i="3"/>
  <c r="O423" i="3" s="1"/>
  <c r="K425" i="3"/>
  <c r="O425" i="3" s="1"/>
  <c r="L429" i="3"/>
  <c r="O429" i="3" s="1"/>
  <c r="O431" i="3"/>
  <c r="K501" i="3"/>
  <c r="O501" i="3" s="1"/>
  <c r="K508" i="3"/>
  <c r="O562" i="3"/>
  <c r="N562" i="3"/>
  <c r="L562" i="3"/>
  <c r="K562" i="3"/>
  <c r="O578" i="3"/>
  <c r="N578" i="3"/>
  <c r="L578" i="3"/>
  <c r="K578" i="3"/>
  <c r="M597" i="3"/>
  <c r="L597" i="3"/>
  <c r="K597" i="3"/>
  <c r="K604" i="3"/>
  <c r="L619" i="3"/>
  <c r="L417" i="3"/>
  <c r="O417" i="3" s="1"/>
  <c r="L421" i="3"/>
  <c r="L423" i="3"/>
  <c r="K427" i="3"/>
  <c r="O427" i="3" s="1"/>
  <c r="K429" i="3"/>
  <c r="N440" i="3"/>
  <c r="L440" i="3"/>
  <c r="O440" i="3" s="1"/>
  <c r="N495" i="3"/>
  <c r="M495" i="3"/>
  <c r="O495" i="3"/>
  <c r="L508" i="3"/>
  <c r="O508" i="3" s="1"/>
  <c r="O546" i="3"/>
  <c r="N546" i="3"/>
  <c r="L546" i="3"/>
  <c r="M546" i="3"/>
  <c r="K546" i="3"/>
  <c r="M562" i="3"/>
  <c r="M578" i="3"/>
  <c r="O594" i="3"/>
  <c r="N594" i="3"/>
  <c r="L594" i="3"/>
  <c r="N597" i="3"/>
  <c r="N620" i="3"/>
  <c r="M620" i="3"/>
  <c r="L620" i="3"/>
  <c r="N454" i="3"/>
  <c r="K454" i="3"/>
  <c r="O454" i="3" s="1"/>
  <c r="N459" i="3"/>
  <c r="L459" i="3"/>
  <c r="K495" i="3"/>
  <c r="M505" i="3"/>
  <c r="K594" i="3"/>
  <c r="O597" i="3"/>
  <c r="O605" i="3"/>
  <c r="N605" i="3"/>
  <c r="M605" i="3"/>
  <c r="L605" i="3"/>
  <c r="K605" i="3"/>
  <c r="K620" i="3"/>
  <c r="N417" i="3"/>
  <c r="N438" i="3"/>
  <c r="K438" i="3"/>
  <c r="N449" i="3"/>
  <c r="M449" i="3"/>
  <c r="K449" i="3"/>
  <c r="O449" i="3" s="1"/>
  <c r="L454" i="3"/>
  <c r="K457" i="3"/>
  <c r="O457" i="3" s="1"/>
  <c r="K459" i="3"/>
  <c r="O459" i="3" s="1"/>
  <c r="N472" i="3"/>
  <c r="O472" i="3" s="1"/>
  <c r="M472" i="3"/>
  <c r="L472" i="3"/>
  <c r="O479" i="3"/>
  <c r="M484" i="3"/>
  <c r="K484" i="3"/>
  <c r="K492" i="3"/>
  <c r="L495" i="3"/>
  <c r="K505" i="3"/>
  <c r="O505" i="3" s="1"/>
  <c r="N524" i="3"/>
  <c r="M524" i="3"/>
  <c r="L524" i="3"/>
  <c r="M594" i="3"/>
  <c r="O620" i="3"/>
  <c r="M482" i="3"/>
  <c r="M613" i="3"/>
  <c r="L613" i="3"/>
  <c r="K613" i="3"/>
  <c r="O434" i="3"/>
  <c r="M438" i="3"/>
  <c r="M457" i="3"/>
  <c r="M464" i="3"/>
  <c r="K482" i="3"/>
  <c r="O482" i="3" s="1"/>
  <c r="N484" i="3"/>
  <c r="N492" i="3"/>
  <c r="N505" i="3"/>
  <c r="O524" i="3"/>
  <c r="N613" i="3"/>
  <c r="O621" i="3"/>
  <c r="N621" i="3"/>
  <c r="M621" i="3"/>
  <c r="L621" i="3"/>
  <c r="K621" i="3"/>
  <c r="N636" i="3"/>
  <c r="M636" i="3"/>
  <c r="L636" i="3"/>
  <c r="M452" i="3"/>
  <c r="K452" i="3"/>
  <c r="N464" i="3"/>
  <c r="O464" i="3" s="1"/>
  <c r="L482" i="3"/>
  <c r="O613" i="3"/>
  <c r="O617" i="3"/>
  <c r="M617" i="3"/>
  <c r="L617" i="3"/>
  <c r="O447" i="3"/>
  <c r="L452" i="3"/>
  <c r="N482" i="3"/>
  <c r="O521" i="3"/>
  <c r="M521" i="3"/>
  <c r="O587" i="3"/>
  <c r="N587" i="3"/>
  <c r="M587" i="3"/>
  <c r="K587" i="3"/>
  <c r="O610" i="3"/>
  <c r="N610" i="3"/>
  <c r="L610" i="3"/>
  <c r="O486" i="3"/>
  <c r="O503" i="3"/>
  <c r="M565" i="3"/>
  <c r="L565" i="3"/>
  <c r="K565" i="3"/>
  <c r="O571" i="3"/>
  <c r="N571" i="3"/>
  <c r="M571" i="3"/>
  <c r="K571" i="3"/>
  <c r="N588" i="3"/>
  <c r="M588" i="3"/>
  <c r="L588" i="3"/>
  <c r="O601" i="3"/>
  <c r="M601" i="3"/>
  <c r="L445" i="3"/>
  <c r="L461" i="3"/>
  <c r="O461" i="3" s="1"/>
  <c r="L477" i="3"/>
  <c r="O477" i="3" s="1"/>
  <c r="L488" i="3"/>
  <c r="O488" i="3" s="1"/>
  <c r="M509" i="3"/>
  <c r="K509" i="3"/>
  <c r="O509" i="3" s="1"/>
  <c r="O565" i="3"/>
  <c r="N572" i="3"/>
  <c r="M572" i="3"/>
  <c r="L572" i="3"/>
  <c r="O585" i="3"/>
  <c r="M585" i="3"/>
  <c r="O588" i="3"/>
  <c r="L601" i="3"/>
  <c r="M491" i="3"/>
  <c r="K491" i="3"/>
  <c r="N556" i="3"/>
  <c r="M556" i="3"/>
  <c r="L556" i="3"/>
  <c r="O589" i="3"/>
  <c r="N589" i="3"/>
  <c r="M589" i="3"/>
  <c r="L589" i="3"/>
  <c r="K589" i="3"/>
  <c r="M645" i="3"/>
  <c r="L645" i="3"/>
  <c r="K645" i="3"/>
  <c r="O645" i="3"/>
  <c r="O499" i="3"/>
  <c r="M533" i="3"/>
  <c r="L533" i="3"/>
  <c r="K533" i="3"/>
  <c r="O539" i="3"/>
  <c r="N539" i="3"/>
  <c r="M539" i="3"/>
  <c r="K539" i="3"/>
  <c r="N645" i="3"/>
  <c r="K451" i="3"/>
  <c r="O451" i="3" s="1"/>
  <c r="M489" i="3"/>
  <c r="O489" i="3" s="1"/>
  <c r="O530" i="3"/>
  <c r="N530" i="3"/>
  <c r="L530" i="3"/>
  <c r="N533" i="3"/>
  <c r="L539" i="3"/>
  <c r="O553" i="3"/>
  <c r="M553" i="3"/>
  <c r="O556" i="3"/>
  <c r="O573" i="3"/>
  <c r="N573" i="3"/>
  <c r="M573" i="3"/>
  <c r="L573" i="3"/>
  <c r="K573" i="3"/>
  <c r="O653" i="3"/>
  <c r="N653" i="3"/>
  <c r="M653" i="3"/>
  <c r="L653" i="3"/>
  <c r="K653" i="3"/>
  <c r="M507" i="3"/>
  <c r="O507" i="3" s="1"/>
  <c r="K507" i="3"/>
  <c r="M517" i="3"/>
  <c r="L517" i="3"/>
  <c r="K517" i="3"/>
  <c r="O523" i="3"/>
  <c r="N523" i="3"/>
  <c r="M523" i="3"/>
  <c r="K523" i="3"/>
  <c r="N540" i="3"/>
  <c r="M540" i="3"/>
  <c r="L540" i="3"/>
  <c r="O626" i="3"/>
  <c r="N626" i="3"/>
  <c r="L626" i="3"/>
  <c r="M629" i="3"/>
  <c r="L629" i="3"/>
  <c r="K629" i="3"/>
  <c r="O635" i="3"/>
  <c r="N635" i="3"/>
  <c r="M635" i="3"/>
  <c r="K635" i="3"/>
  <c r="O649" i="3"/>
  <c r="M649" i="3"/>
  <c r="K649" i="3"/>
  <c r="O502" i="3"/>
  <c r="O514" i="3"/>
  <c r="N514" i="3"/>
  <c r="L514" i="3"/>
  <c r="M647" i="3"/>
  <c r="N654" i="3"/>
  <c r="L656" i="3"/>
  <c r="O654" i="3"/>
  <c r="M656" i="3"/>
  <c r="L642" i="3"/>
  <c r="K651" i="3"/>
  <c r="N642" i="3"/>
  <c r="M651" i="3"/>
  <c r="N651" i="3"/>
  <c r="K511" i="3"/>
  <c r="O511" i="3" s="1"/>
  <c r="K543" i="3"/>
  <c r="L550" i="3"/>
  <c r="K559" i="3"/>
  <c r="L566" i="3"/>
  <c r="K575" i="3"/>
  <c r="L582" i="3"/>
  <c r="K591" i="3"/>
  <c r="L598" i="3"/>
  <c r="K607" i="3"/>
  <c r="L614" i="3"/>
  <c r="K623" i="3"/>
  <c r="L630" i="3"/>
  <c r="K639" i="3"/>
  <c r="L646" i="3"/>
  <c r="K655" i="3"/>
  <c r="M518" i="3"/>
  <c r="K520" i="3"/>
  <c r="L527" i="3"/>
  <c r="M534" i="3"/>
  <c r="K536" i="3"/>
  <c r="L543" i="3"/>
  <c r="M550" i="3"/>
  <c r="K552" i="3"/>
  <c r="L559" i="3"/>
  <c r="M566" i="3"/>
  <c r="K568" i="3"/>
  <c r="L575" i="3"/>
  <c r="M582" i="3"/>
  <c r="K584" i="3"/>
  <c r="L591" i="3"/>
  <c r="M598" i="3"/>
  <c r="K600" i="3"/>
  <c r="L607" i="3"/>
  <c r="M614" i="3"/>
  <c r="K616" i="3"/>
  <c r="L623" i="3"/>
  <c r="M630" i="3"/>
  <c r="K632" i="3"/>
  <c r="L639" i="3"/>
  <c r="M646" i="3"/>
  <c r="L655" i="3"/>
  <c r="N502" i="3"/>
  <c r="L504" i="3"/>
  <c r="O504" i="3" s="1"/>
  <c r="M511" i="3"/>
  <c r="K513" i="3"/>
  <c r="O513" i="3" s="1"/>
  <c r="L520" i="3"/>
  <c r="M527" i="3"/>
  <c r="L536" i="3"/>
  <c r="M543" i="3"/>
  <c r="M559" i="3"/>
  <c r="M591" i="3"/>
  <c r="M607" i="3"/>
  <c r="M623" i="3"/>
  <c r="M639" i="3"/>
  <c r="M655" i="3"/>
  <c r="K490" i="3"/>
  <c r="K506" i="3"/>
  <c r="O506" i="3" s="1"/>
  <c r="L513" i="3"/>
  <c r="M515" i="3"/>
  <c r="M531" i="3"/>
  <c r="M547" i="3"/>
  <c r="M563" i="3"/>
  <c r="M579" i="3"/>
  <c r="M595" i="3"/>
  <c r="M611" i="3"/>
  <c r="M627" i="3"/>
  <c r="M643" i="3"/>
  <c r="K510" i="3"/>
  <c r="O510" i="3" s="1"/>
  <c r="N515" i="3"/>
  <c r="N531" i="3"/>
  <c r="N547" i="3"/>
  <c r="N563" i="3"/>
  <c r="N579" i="3"/>
  <c r="N595" i="3"/>
  <c r="N611" i="3"/>
  <c r="N627" i="3"/>
  <c r="N643" i="3"/>
  <c r="P160" i="3" l="1"/>
  <c r="Q160" i="3" s="1"/>
  <c r="R160" i="3" s="1"/>
  <c r="O293" i="3"/>
  <c r="O166" i="3"/>
  <c r="O122" i="3"/>
  <c r="H36" i="1"/>
  <c r="P10" i="2"/>
  <c r="F15" i="2"/>
  <c r="O328" i="3"/>
  <c r="P139" i="3" s="1"/>
  <c r="Q139" i="3" s="1"/>
  <c r="R139" i="3" s="1"/>
  <c r="O188" i="3"/>
  <c r="H37" i="1"/>
  <c r="O438" i="3"/>
  <c r="P421" i="3"/>
  <c r="Q421" i="3" s="1"/>
  <c r="R421" i="3" s="1"/>
  <c r="O359" i="3"/>
  <c r="O151" i="3"/>
  <c r="O74" i="3"/>
  <c r="M15" i="2"/>
  <c r="P648" i="3"/>
  <c r="Q648" i="3" s="1"/>
  <c r="R648" i="3" s="1"/>
  <c r="P428" i="3"/>
  <c r="Q428" i="3" s="1"/>
  <c r="R428" i="3" s="1"/>
  <c r="O125" i="3"/>
  <c r="O491" i="3"/>
  <c r="O484" i="3"/>
  <c r="O403" i="3"/>
  <c r="O407" i="3"/>
  <c r="O274" i="3"/>
  <c r="P153" i="3"/>
  <c r="Q153" i="3" s="1"/>
  <c r="R153" i="3" s="1"/>
  <c r="P408" i="3"/>
  <c r="Q408" i="3" s="1"/>
  <c r="R408" i="3" s="1"/>
  <c r="O262" i="3"/>
  <c r="O16" i="3"/>
  <c r="P45" i="3" s="1"/>
  <c r="Q45" i="3" s="1"/>
  <c r="R45" i="3" s="1"/>
  <c r="P267" i="3"/>
  <c r="Q267" i="3" s="1"/>
  <c r="R267" i="3" s="1"/>
  <c r="P634" i="3"/>
  <c r="Q634" i="3" s="1"/>
  <c r="R634" i="3" s="1"/>
  <c r="O395" i="3"/>
  <c r="P580" i="3"/>
  <c r="Q580" i="3" s="1"/>
  <c r="R580" i="3" s="1"/>
  <c r="O239" i="3"/>
  <c r="P377" i="3"/>
  <c r="Q377" i="3" s="1"/>
  <c r="R377" i="3" s="1"/>
  <c r="P102" i="3"/>
  <c r="Q102" i="3" s="1"/>
  <c r="R102" i="3" s="1"/>
  <c r="O497" i="3"/>
  <c r="O492" i="3"/>
  <c r="O271" i="3"/>
  <c r="O164" i="3"/>
  <c r="P549" i="3"/>
  <c r="Q549" i="3" s="1"/>
  <c r="R549" i="3" s="1"/>
  <c r="O203" i="3"/>
  <c r="P642" i="3"/>
  <c r="Q642" i="3" s="1"/>
  <c r="R642" i="3" s="1"/>
  <c r="O452" i="3"/>
  <c r="O217" i="3"/>
  <c r="O138" i="3"/>
  <c r="P101" i="3" s="1"/>
  <c r="Q101" i="3" s="1"/>
  <c r="R101" i="3" s="1"/>
  <c r="P278" i="3"/>
  <c r="Q278" i="3" s="1"/>
  <c r="R278" i="3" s="1"/>
  <c r="P351" i="3" l="1"/>
  <c r="Q351" i="3" s="1"/>
  <c r="R351" i="3" s="1"/>
  <c r="P303" i="3"/>
  <c r="Q303" i="3" s="1"/>
  <c r="R303" i="3" s="1"/>
  <c r="P112" i="3"/>
  <c r="Q112" i="3" s="1"/>
  <c r="R112" i="3" s="1"/>
  <c r="P655" i="3"/>
  <c r="Q655" i="3" s="1"/>
  <c r="R655" i="3" s="1"/>
  <c r="P446" i="3"/>
  <c r="Q446" i="3" s="1"/>
  <c r="R446" i="3" s="1"/>
  <c r="P578" i="3"/>
  <c r="Q578" i="3" s="1"/>
  <c r="R578" i="3" s="1"/>
  <c r="P562" i="3"/>
  <c r="Q562" i="3" s="1"/>
  <c r="R562" i="3" s="1"/>
  <c r="P530" i="3"/>
  <c r="Q530" i="3" s="1"/>
  <c r="R530" i="3" s="1"/>
  <c r="P615" i="3"/>
  <c r="Q615" i="3" s="1"/>
  <c r="R615" i="3" s="1"/>
  <c r="P156" i="3"/>
  <c r="Q156" i="3" s="1"/>
  <c r="R156" i="3" s="1"/>
  <c r="P436" i="3"/>
  <c r="Q436" i="3" s="1"/>
  <c r="R436" i="3" s="1"/>
  <c r="P641" i="3"/>
  <c r="Q641" i="3" s="1"/>
  <c r="R641" i="3" s="1"/>
  <c r="P113" i="3"/>
  <c r="Q113" i="3" s="1"/>
  <c r="R113" i="3" s="1"/>
  <c r="P533" i="3"/>
  <c r="Q533" i="3" s="1"/>
  <c r="R533" i="3" s="1"/>
  <c r="P607" i="3"/>
  <c r="Q607" i="3" s="1"/>
  <c r="R607" i="3" s="1"/>
  <c r="P443" i="3"/>
  <c r="Q443" i="3" s="1"/>
  <c r="R443" i="3" s="1"/>
  <c r="P89" i="3"/>
  <c r="Q89" i="3" s="1"/>
  <c r="R89" i="3" s="1"/>
  <c r="P202" i="3"/>
  <c r="Q202" i="3" s="1"/>
  <c r="R202" i="3" s="1"/>
  <c r="P586" i="3"/>
  <c r="Q586" i="3" s="1"/>
  <c r="R586" i="3" s="1"/>
  <c r="P469" i="3"/>
  <c r="Q469" i="3" s="1"/>
  <c r="R469" i="3" s="1"/>
  <c r="P305" i="3"/>
  <c r="Q305" i="3" s="1"/>
  <c r="R305" i="3" s="1"/>
  <c r="P503" i="3"/>
  <c r="Q503" i="3" s="1"/>
  <c r="R503" i="3" s="1"/>
  <c r="P653" i="3"/>
  <c r="Q653" i="3" s="1"/>
  <c r="R653" i="3" s="1"/>
  <c r="P210" i="3"/>
  <c r="Q210" i="3" s="1"/>
  <c r="R210" i="3" s="1"/>
  <c r="P433" i="3"/>
  <c r="Q433" i="3" s="1"/>
  <c r="R433" i="3" s="1"/>
  <c r="P383" i="3"/>
  <c r="Q383" i="3" s="1"/>
  <c r="R383" i="3" s="1"/>
  <c r="P497" i="3"/>
  <c r="Q497" i="3" s="1"/>
  <c r="R497" i="3" s="1"/>
  <c r="P538" i="3"/>
  <c r="Q538" i="3" s="1"/>
  <c r="R538" i="3" s="1"/>
  <c r="P38" i="3"/>
  <c r="Q38" i="3" s="1"/>
  <c r="R38" i="3" s="1"/>
  <c r="P370" i="3"/>
  <c r="Q370" i="3" s="1"/>
  <c r="R370" i="3" s="1"/>
  <c r="P190" i="3"/>
  <c r="Q190" i="3" s="1"/>
  <c r="R190" i="3" s="1"/>
  <c r="P177" i="3"/>
  <c r="Q177" i="3" s="1"/>
  <c r="R177" i="3" s="1"/>
  <c r="P270" i="3"/>
  <c r="Q270" i="3" s="1"/>
  <c r="R270" i="3" s="1"/>
  <c r="P194" i="3"/>
  <c r="Q194" i="3" s="1"/>
  <c r="R194" i="3" s="1"/>
  <c r="P540" i="3"/>
  <c r="Q540" i="3" s="1"/>
  <c r="R540" i="3" s="1"/>
  <c r="P622" i="3"/>
  <c r="Q622" i="3" s="1"/>
  <c r="R622" i="3" s="1"/>
  <c r="P325" i="3"/>
  <c r="Q325" i="3" s="1"/>
  <c r="R325" i="3" s="1"/>
  <c r="P241" i="3"/>
  <c r="Q241" i="3" s="1"/>
  <c r="R241" i="3" s="1"/>
  <c r="P654" i="3"/>
  <c r="Q654" i="3" s="1"/>
  <c r="R654" i="3" s="1"/>
  <c r="P423" i="3"/>
  <c r="Q423" i="3" s="1"/>
  <c r="R423" i="3" s="1"/>
  <c r="P316" i="3"/>
  <c r="Q316" i="3" s="1"/>
  <c r="R316" i="3" s="1"/>
  <c r="P529" i="3"/>
  <c r="Q529" i="3" s="1"/>
  <c r="R529" i="3" s="1"/>
  <c r="P514" i="3"/>
  <c r="Q514" i="3" s="1"/>
  <c r="R514" i="3" s="1"/>
  <c r="P214" i="3"/>
  <c r="Q214" i="3" s="1"/>
  <c r="R214" i="3" s="1"/>
  <c r="P560" i="3"/>
  <c r="Q560" i="3" s="1"/>
  <c r="R560" i="3" s="1"/>
  <c r="P478" i="3"/>
  <c r="Q478" i="3" s="1"/>
  <c r="R478" i="3" s="1"/>
  <c r="P97" i="3"/>
  <c r="Q97" i="3" s="1"/>
  <c r="R97" i="3" s="1"/>
  <c r="P526" i="3"/>
  <c r="Q526" i="3" s="1"/>
  <c r="R526" i="3" s="1"/>
  <c r="P48" i="3"/>
  <c r="Q48" i="3" s="1"/>
  <c r="R48" i="3" s="1"/>
  <c r="P314" i="3"/>
  <c r="Q314" i="3" s="1"/>
  <c r="R314" i="3" s="1"/>
  <c r="P548" i="3"/>
  <c r="Q548" i="3" s="1"/>
  <c r="R548" i="3" s="1"/>
  <c r="P563" i="3"/>
  <c r="Q563" i="3" s="1"/>
  <c r="R563" i="3" s="1"/>
  <c r="P329" i="3"/>
  <c r="Q329" i="3" s="1"/>
  <c r="R329" i="3" s="1"/>
  <c r="P605" i="3"/>
  <c r="Q605" i="3" s="1"/>
  <c r="R605" i="3" s="1"/>
  <c r="P279" i="3"/>
  <c r="Q279" i="3" s="1"/>
  <c r="R279" i="3" s="1"/>
  <c r="P470" i="3"/>
  <c r="Q470" i="3" s="1"/>
  <c r="R470" i="3" s="1"/>
  <c r="P385" i="3"/>
  <c r="Q385" i="3" s="1"/>
  <c r="R385" i="3" s="1"/>
  <c r="P437" i="3"/>
  <c r="Q437" i="3" s="1"/>
  <c r="R437" i="3" s="1"/>
  <c r="P148" i="3"/>
  <c r="Q148" i="3" s="1"/>
  <c r="R148" i="3" s="1"/>
  <c r="P249" i="3"/>
  <c r="Q249" i="3" s="1"/>
  <c r="R249" i="3" s="1"/>
  <c r="P138" i="3"/>
  <c r="Q138" i="3" s="1"/>
  <c r="R138" i="3" s="1"/>
  <c r="P137" i="3"/>
  <c r="Q137" i="3" s="1"/>
  <c r="R137" i="3" s="1"/>
  <c r="P90" i="3"/>
  <c r="Q90" i="3" s="1"/>
  <c r="R90" i="3" s="1"/>
  <c r="P217" i="3"/>
  <c r="Q217" i="3" s="1"/>
  <c r="R217" i="3" s="1"/>
  <c r="P627" i="3"/>
  <c r="Q627" i="3" s="1"/>
  <c r="R627" i="3" s="1"/>
  <c r="P646" i="3"/>
  <c r="Q646" i="3" s="1"/>
  <c r="R646" i="3" s="1"/>
  <c r="P527" i="3"/>
  <c r="Q527" i="3" s="1"/>
  <c r="R527" i="3" s="1"/>
  <c r="P99" i="3"/>
  <c r="Q99" i="3" s="1"/>
  <c r="R99" i="3" s="1"/>
  <c r="P459" i="3"/>
  <c r="Q459" i="3" s="1"/>
  <c r="R459" i="3" s="1"/>
  <c r="P405" i="3"/>
  <c r="Q405" i="3" s="1"/>
  <c r="R405" i="3" s="1"/>
  <c r="P91" i="3"/>
  <c r="Q91" i="3" s="1"/>
  <c r="R91" i="3" s="1"/>
  <c r="P452" i="3"/>
  <c r="Q452" i="3" s="1"/>
  <c r="R452" i="3" s="1"/>
  <c r="P619" i="3"/>
  <c r="Q619" i="3" s="1"/>
  <c r="R619" i="3" s="1"/>
  <c r="P311" i="3"/>
  <c r="Q311" i="3" s="1"/>
  <c r="R311" i="3" s="1"/>
  <c r="P537" i="3"/>
  <c r="Q537" i="3" s="1"/>
  <c r="R537" i="3" s="1"/>
  <c r="P485" i="3"/>
  <c r="Q485" i="3" s="1"/>
  <c r="R485" i="3" s="1"/>
  <c r="P293" i="3"/>
  <c r="Q293" i="3" s="1"/>
  <c r="R293" i="3" s="1"/>
  <c r="P471" i="3"/>
  <c r="Q471" i="3" s="1"/>
  <c r="R471" i="3" s="1"/>
  <c r="P547" i="3"/>
  <c r="Q547" i="3" s="1"/>
  <c r="R547" i="3" s="1"/>
  <c r="P592" i="3"/>
  <c r="Q592" i="3" s="1"/>
  <c r="R592" i="3" s="1"/>
  <c r="P445" i="3"/>
  <c r="Q445" i="3" s="1"/>
  <c r="R445" i="3" s="1"/>
  <c r="P636" i="3"/>
  <c r="Q636" i="3" s="1"/>
  <c r="R636" i="3" s="1"/>
  <c r="P262" i="3"/>
  <c r="Q262" i="3" s="1"/>
  <c r="R262" i="3" s="1"/>
  <c r="P451" i="3"/>
  <c r="Q451" i="3" s="1"/>
  <c r="R451" i="3" s="1"/>
  <c r="P291" i="3"/>
  <c r="Q291" i="3" s="1"/>
  <c r="R291" i="3" s="1"/>
  <c r="P505" i="3"/>
  <c r="Q505" i="3" s="1"/>
  <c r="R505" i="3" s="1"/>
  <c r="P84" i="3"/>
  <c r="Q84" i="3" s="1"/>
  <c r="R84" i="3" s="1"/>
  <c r="P602" i="3"/>
  <c r="Q602" i="3" s="1"/>
  <c r="R602" i="3" s="1"/>
  <c r="P474" i="3"/>
  <c r="Q474" i="3" s="1"/>
  <c r="R474" i="3" s="1"/>
  <c r="P550" i="3"/>
  <c r="Q550" i="3" s="1"/>
  <c r="R550" i="3" s="1"/>
  <c r="P274" i="3"/>
  <c r="Q274" i="3" s="1"/>
  <c r="R274" i="3" s="1"/>
  <c r="P343" i="3"/>
  <c r="Q343" i="3" s="1"/>
  <c r="R343" i="3" s="1"/>
  <c r="P304" i="3"/>
  <c r="Q304" i="3" s="1"/>
  <c r="R304" i="3" s="1"/>
  <c r="P450" i="3"/>
  <c r="Q450" i="3" s="1"/>
  <c r="R450" i="3" s="1"/>
  <c r="P257" i="3"/>
  <c r="Q257" i="3" s="1"/>
  <c r="R257" i="3" s="1"/>
  <c r="P635" i="3"/>
  <c r="Q635" i="3" s="1"/>
  <c r="R635" i="3" s="1"/>
  <c r="P256" i="3"/>
  <c r="Q256" i="3" s="1"/>
  <c r="R256" i="3" s="1"/>
  <c r="P218" i="3"/>
  <c r="Q218" i="3" s="1"/>
  <c r="R218" i="3" s="1"/>
  <c r="P407" i="3"/>
  <c r="Q407" i="3"/>
  <c r="R407" i="3" s="1"/>
  <c r="P348" i="3"/>
  <c r="Q348" i="3" s="1"/>
  <c r="R348" i="3" s="1"/>
  <c r="P72" i="3"/>
  <c r="Q72" i="3" s="1"/>
  <c r="R72" i="3" s="1"/>
  <c r="P594" i="3"/>
  <c r="Q594" i="3" s="1"/>
  <c r="R594" i="3" s="1"/>
  <c r="P427" i="3"/>
  <c r="Q427" i="3" s="1"/>
  <c r="R427" i="3" s="1"/>
  <c r="P199" i="3"/>
  <c r="Q199" i="3" s="1"/>
  <c r="R199" i="3" s="1"/>
  <c r="P180" i="3"/>
  <c r="Q180" i="3" s="1"/>
  <c r="R180" i="3" s="1"/>
  <c r="P255" i="3"/>
  <c r="Q255" i="3" s="1"/>
  <c r="R255" i="3" s="1"/>
  <c r="P502" i="3"/>
  <c r="Q502" i="3" s="1"/>
  <c r="R502" i="3" s="1"/>
  <c r="P207" i="3"/>
  <c r="Q207" i="3" s="1"/>
  <c r="R207" i="3" s="1"/>
  <c r="P483" i="3"/>
  <c r="Q483" i="3" s="1"/>
  <c r="R483" i="3" s="1"/>
  <c r="P124" i="3"/>
  <c r="Q124" i="3" s="1"/>
  <c r="R124" i="3" s="1"/>
  <c r="P403" i="3"/>
  <c r="Q403" i="3" s="1"/>
  <c r="R403" i="3" s="1"/>
  <c r="P631" i="3"/>
  <c r="Q631" i="3" s="1"/>
  <c r="R631" i="3" s="1"/>
  <c r="P517" i="3"/>
  <c r="Q517" i="3" s="1"/>
  <c r="R517" i="3" s="1"/>
  <c r="P656" i="3"/>
  <c r="Q656" i="3" s="1"/>
  <c r="R656" i="3" s="1"/>
  <c r="P130" i="3"/>
  <c r="Q130" i="3" s="1"/>
  <c r="R130" i="3" s="1"/>
  <c r="P100" i="3"/>
  <c r="Q100" i="3" s="1"/>
  <c r="R100" i="3" s="1"/>
  <c r="P334" i="3"/>
  <c r="Q334" i="3" s="1"/>
  <c r="R334" i="3" s="1"/>
  <c r="P83" i="3"/>
  <c r="Q83" i="3" s="1"/>
  <c r="R83" i="3" s="1"/>
  <c r="P449" i="3"/>
  <c r="Q449" i="3" s="1"/>
  <c r="R449" i="3" s="1"/>
  <c r="P286" i="3"/>
  <c r="Q286" i="3" s="1"/>
  <c r="R286" i="3" s="1"/>
  <c r="P201" i="3"/>
  <c r="Q201" i="3" s="1"/>
  <c r="R201" i="3" s="1"/>
  <c r="P297" i="3"/>
  <c r="Q297" i="3" s="1"/>
  <c r="R297" i="3" s="1"/>
  <c r="P11" i="3"/>
  <c r="Q11" i="3" s="1"/>
  <c r="R11" i="3" s="1"/>
  <c r="P328" i="3"/>
  <c r="Q328" i="3"/>
  <c r="R328" i="3" s="1"/>
  <c r="P330" i="3"/>
  <c r="Q330" i="3" s="1"/>
  <c r="R330" i="3" s="1"/>
  <c r="P142" i="3"/>
  <c r="Q142" i="3" s="1"/>
  <c r="R142" i="3" s="1"/>
  <c r="P600" i="3"/>
  <c r="Q600" i="3" s="1"/>
  <c r="R600" i="3" s="1"/>
  <c r="P242" i="3"/>
  <c r="Q242" i="3" s="1"/>
  <c r="R242" i="3" s="1"/>
  <c r="P442" i="3"/>
  <c r="Q442" i="3" s="1"/>
  <c r="R442" i="3" s="1"/>
  <c r="P120" i="3"/>
  <c r="Q120" i="3" s="1"/>
  <c r="R120" i="3" s="1"/>
  <c r="P617" i="3"/>
  <c r="Q617" i="3" s="1"/>
  <c r="R617" i="3" s="1"/>
  <c r="P176" i="3"/>
  <c r="Q176" i="3" s="1"/>
  <c r="R176" i="3" s="1"/>
  <c r="P9" i="3"/>
  <c r="Q9" i="3" s="1"/>
  <c r="R9" i="3" s="1"/>
  <c r="P43" i="3"/>
  <c r="Q43" i="3" s="1"/>
  <c r="R43" i="3" s="1"/>
  <c r="P282" i="3"/>
  <c r="Q282" i="3" s="1"/>
  <c r="R282" i="3" s="1"/>
  <c r="P461" i="3"/>
  <c r="Q461" i="3" s="1"/>
  <c r="R461" i="3" s="1"/>
  <c r="P317" i="3"/>
  <c r="Q317" i="3" s="1"/>
  <c r="R317" i="3" s="1"/>
  <c r="P298" i="3"/>
  <c r="Q298" i="3" s="1"/>
  <c r="R298" i="3" s="1"/>
  <c r="P294" i="3"/>
  <c r="Q294" i="3" s="1"/>
  <c r="R294" i="3" s="1"/>
  <c r="P588" i="3"/>
  <c r="Q588" i="3" s="1"/>
  <c r="R588" i="3" s="1"/>
  <c r="P555" i="3"/>
  <c r="Q555" i="3" s="1"/>
  <c r="R555" i="3" s="1"/>
  <c r="P382" i="3"/>
  <c r="Q382" i="3" s="1"/>
  <c r="R382" i="3" s="1"/>
  <c r="P309" i="3"/>
  <c r="Q309" i="3" s="1"/>
  <c r="R309" i="3" s="1"/>
  <c r="P87" i="3"/>
  <c r="Q87" i="3" s="1"/>
  <c r="R87" i="3" s="1"/>
  <c r="P389" i="3"/>
  <c r="Q389" i="3" s="1"/>
  <c r="R389" i="3" s="1"/>
  <c r="P486" i="3"/>
  <c r="Q486" i="3" s="1"/>
  <c r="R486" i="3" s="1"/>
  <c r="P44" i="3"/>
  <c r="Q44" i="3" s="1"/>
  <c r="R44" i="3" s="1"/>
  <c r="P569" i="3"/>
  <c r="Q569" i="3" s="1"/>
  <c r="R569" i="3" s="1"/>
  <c r="P21" i="3"/>
  <c r="Q21" i="3" s="1"/>
  <c r="R21" i="3" s="1"/>
  <c r="P456" i="3"/>
  <c r="Q456" i="3" s="1"/>
  <c r="R456" i="3" s="1"/>
  <c r="P108" i="3"/>
  <c r="Q108" i="3" s="1"/>
  <c r="R108" i="3" s="1"/>
  <c r="P265" i="3"/>
  <c r="Q265" i="3" s="1"/>
  <c r="R265" i="3" s="1"/>
  <c r="P399" i="3"/>
  <c r="Q399" i="3" s="1"/>
  <c r="R399" i="3" s="1"/>
  <c r="P591" i="3"/>
  <c r="Q591" i="3" s="1"/>
  <c r="R591" i="3" s="1"/>
  <c r="P455" i="3"/>
  <c r="Q455" i="3" s="1"/>
  <c r="R455" i="3" s="1"/>
  <c r="P198" i="3"/>
  <c r="Q198" i="3" s="1"/>
  <c r="R198" i="3" s="1"/>
  <c r="P169" i="3"/>
  <c r="Q169" i="3" s="1"/>
  <c r="R169" i="3" s="1"/>
  <c r="P359" i="3"/>
  <c r="Q359" i="3" s="1"/>
  <c r="R359" i="3" s="1"/>
  <c r="P614" i="3"/>
  <c r="Q614" i="3" s="1"/>
  <c r="R614" i="3" s="1"/>
  <c r="P379" i="3"/>
  <c r="Q379" i="3" s="1"/>
  <c r="R379" i="3" s="1"/>
  <c r="P88" i="3"/>
  <c r="Q88" i="3" s="1"/>
  <c r="R88" i="3" s="1"/>
  <c r="P624" i="3"/>
  <c r="Q624" i="3" s="1"/>
  <c r="R624" i="3" s="1"/>
  <c r="P554" i="3"/>
  <c r="Q554" i="3" s="1"/>
  <c r="R554" i="3" s="1"/>
  <c r="P386" i="3"/>
  <c r="Q386" i="3" s="1"/>
  <c r="R386" i="3" s="1"/>
  <c r="P392" i="3"/>
  <c r="Q392" i="3" s="1"/>
  <c r="R392" i="3" s="1"/>
  <c r="P136" i="3"/>
  <c r="Q136" i="3" s="1"/>
  <c r="R136" i="3" s="1"/>
  <c r="P310" i="3"/>
  <c r="Q310" i="3" s="1"/>
  <c r="R310" i="3" s="1"/>
  <c r="P94" i="3"/>
  <c r="Q94" i="3" s="1"/>
  <c r="R94" i="3" s="1"/>
  <c r="P236" i="3"/>
  <c r="Q236" i="3" s="1"/>
  <c r="R236" i="3" s="1"/>
  <c r="P258" i="3"/>
  <c r="Q258" i="3" s="1"/>
  <c r="R258" i="3" s="1"/>
  <c r="P454" i="3"/>
  <c r="Q454" i="3" s="1"/>
  <c r="R454" i="3" s="1"/>
  <c r="P368" i="3"/>
  <c r="Q368" i="3" s="1"/>
  <c r="R368" i="3" s="1"/>
  <c r="P183" i="3"/>
  <c r="Q183" i="3" s="1"/>
  <c r="R183" i="3" s="1"/>
  <c r="P496" i="3"/>
  <c r="Q496" i="3" s="1"/>
  <c r="R496" i="3" s="1"/>
  <c r="P269" i="3"/>
  <c r="Q269" i="3" s="1"/>
  <c r="R269" i="3" s="1"/>
  <c r="P173" i="3"/>
  <c r="Q173" i="3" s="1"/>
  <c r="R173" i="3" s="1"/>
  <c r="P522" i="3"/>
  <c r="Q522" i="3" s="1"/>
  <c r="R522" i="3" s="1"/>
  <c r="P346" i="3"/>
  <c r="Q346" i="3" s="1"/>
  <c r="R346" i="3" s="1"/>
  <c r="P125" i="3"/>
  <c r="Q125" i="3" s="1"/>
  <c r="R125" i="3" s="1"/>
  <c r="P525" i="3"/>
  <c r="Q525" i="3" s="1"/>
  <c r="R525" i="3" s="1"/>
  <c r="P544" i="3"/>
  <c r="Q544" i="3" s="1"/>
  <c r="R544" i="3" s="1"/>
  <c r="P182" i="3"/>
  <c r="Q182" i="3" s="1"/>
  <c r="R182" i="3" s="1"/>
  <c r="P326" i="3"/>
  <c r="Q326" i="3" s="1"/>
  <c r="R326" i="3" s="1"/>
  <c r="P200" i="3"/>
  <c r="Q200" i="3" s="1"/>
  <c r="R200" i="3" s="1"/>
  <c r="P552" i="3"/>
  <c r="Q552" i="3" s="1"/>
  <c r="R552" i="3" s="1"/>
  <c r="P559" i="3"/>
  <c r="Q559" i="3" s="1"/>
  <c r="R559" i="3" s="1"/>
  <c r="P637" i="3"/>
  <c r="Q637" i="3" s="1"/>
  <c r="R637" i="3" s="1"/>
  <c r="P16" i="3"/>
  <c r="Q16" i="3" s="1"/>
  <c r="R16" i="3" s="1"/>
  <c r="P506" i="3"/>
  <c r="Q506" i="3" s="1"/>
  <c r="R506" i="3" s="1"/>
  <c r="P30" i="3"/>
  <c r="Q30" i="3" s="1"/>
  <c r="R30" i="3" s="1"/>
  <c r="P528" i="3"/>
  <c r="Q528" i="3" s="1"/>
  <c r="R528" i="3" s="1"/>
  <c r="P618" i="3"/>
  <c r="Q618" i="3" s="1"/>
  <c r="R618" i="3" s="1"/>
  <c r="P542" i="3"/>
  <c r="Q542" i="3" s="1"/>
  <c r="R542" i="3" s="1"/>
  <c r="P508" i="3"/>
  <c r="Q508" i="3" s="1"/>
  <c r="R508" i="3" s="1"/>
  <c r="P209" i="3"/>
  <c r="Q209" i="3" s="1"/>
  <c r="R209" i="3" s="1"/>
  <c r="P49" i="3"/>
  <c r="Q49" i="3" s="1"/>
  <c r="R49" i="3" s="1"/>
  <c r="P141" i="3"/>
  <c r="Q141" i="3" s="1"/>
  <c r="R141" i="3" s="1"/>
  <c r="P441" i="3"/>
  <c r="Q441" i="3" s="1"/>
  <c r="R441" i="3" s="1"/>
  <c r="P161" i="3"/>
  <c r="Q161" i="3" s="1"/>
  <c r="R161" i="3" s="1"/>
  <c r="P221" i="3"/>
  <c r="Q221" i="3" s="1"/>
  <c r="R221" i="3" s="1"/>
  <c r="P380" i="3"/>
  <c r="Q380" i="3" s="1"/>
  <c r="R380" i="3" s="1"/>
  <c r="P246" i="3"/>
  <c r="Q246" i="3" s="1"/>
  <c r="R246" i="3" s="1"/>
  <c r="P23" i="3"/>
  <c r="Q23" i="3" s="1"/>
  <c r="R23" i="3" s="1"/>
  <c r="P422" i="3"/>
  <c r="Q422" i="3" s="1"/>
  <c r="R422" i="3" s="1"/>
  <c r="P243" i="3"/>
  <c r="Q243" i="3" s="1"/>
  <c r="R243" i="3" s="1"/>
  <c r="P222" i="3"/>
  <c r="Q222" i="3" s="1"/>
  <c r="R222" i="3" s="1"/>
  <c r="P174" i="3"/>
  <c r="Q174" i="3" s="1"/>
  <c r="R174" i="3" s="1"/>
  <c r="P240" i="3"/>
  <c r="Q240" i="3" s="1"/>
  <c r="R240" i="3" s="1"/>
  <c r="P127" i="3"/>
  <c r="Q127" i="3" s="1"/>
  <c r="R127" i="3" s="1"/>
  <c r="P290" i="3"/>
  <c r="Q290" i="3" s="1"/>
  <c r="R290" i="3" s="1"/>
  <c r="P273" i="3"/>
  <c r="Q273" i="3" s="1"/>
  <c r="R273" i="3" s="1"/>
  <c r="P344" i="3"/>
  <c r="Q344" i="3" s="1"/>
  <c r="R344" i="3" s="1"/>
  <c r="P513" i="3"/>
  <c r="Q513" i="3" s="1"/>
  <c r="R513" i="3" s="1"/>
  <c r="P39" i="3"/>
  <c r="Q39" i="3" s="1"/>
  <c r="R39" i="3" s="1"/>
  <c r="P17" i="3"/>
  <c r="Q17" i="3" s="1"/>
  <c r="R17" i="3" s="1"/>
  <c r="P360" i="3"/>
  <c r="Q360" i="3" s="1"/>
  <c r="R360" i="3" s="1"/>
  <c r="P81" i="3"/>
  <c r="Q81" i="3" s="1"/>
  <c r="R81" i="3" s="1"/>
  <c r="P417" i="3"/>
  <c r="Q417" i="3" s="1"/>
  <c r="R417" i="3" s="1"/>
  <c r="P312" i="3"/>
  <c r="Q312" i="3" s="1"/>
  <c r="R312" i="3" s="1"/>
  <c r="P92" i="3"/>
  <c r="Q92" i="3" s="1"/>
  <c r="R92" i="3" s="1"/>
  <c r="P226" i="3"/>
  <c r="Q226" i="3" s="1"/>
  <c r="R226" i="3" s="1"/>
  <c r="P608" i="3"/>
  <c r="Q608" i="3" s="1"/>
  <c r="R608" i="3" s="1"/>
  <c r="P26" i="3"/>
  <c r="Q26" i="3" s="1"/>
  <c r="R26" i="3" s="1"/>
  <c r="P606" i="3"/>
  <c r="Q606" i="3" s="1"/>
  <c r="R606" i="3" s="1"/>
  <c r="P300" i="3"/>
  <c r="Q300" i="3" s="1"/>
  <c r="R300" i="3" s="1"/>
  <c r="P163" i="3"/>
  <c r="Q163" i="3" s="1"/>
  <c r="R163" i="3" s="1"/>
  <c r="P512" i="3"/>
  <c r="Q512" i="3" s="1"/>
  <c r="R512" i="3" s="1"/>
  <c r="P230" i="3"/>
  <c r="Q230" i="3" s="1"/>
  <c r="R230" i="3" s="1"/>
  <c r="P581" i="3"/>
  <c r="Q581" i="3" s="1"/>
  <c r="R581" i="3" s="1"/>
  <c r="P384" i="3"/>
  <c r="Q384" i="3" s="1"/>
  <c r="R384" i="3" s="1"/>
  <c r="P603" i="3"/>
  <c r="Q603" i="3" s="1"/>
  <c r="R603" i="3" s="1"/>
  <c r="P475" i="3"/>
  <c r="Q475" i="3" s="1"/>
  <c r="R475" i="3" s="1"/>
  <c r="P499" i="3"/>
  <c r="Q499" i="3" s="1"/>
  <c r="R499" i="3" s="1"/>
  <c r="P432" i="3"/>
  <c r="Q432" i="3" s="1"/>
  <c r="R432" i="3" s="1"/>
  <c r="P32" i="3"/>
  <c r="Q32" i="3" s="1"/>
  <c r="R32" i="3" s="1"/>
  <c r="P93" i="3"/>
  <c r="Q93" i="3" s="1"/>
  <c r="R93" i="3" s="1"/>
  <c r="P465" i="3"/>
  <c r="Q465" i="3" s="1"/>
  <c r="R465" i="3" s="1"/>
  <c r="P558" i="3"/>
  <c r="Q558" i="3" s="1"/>
  <c r="R558" i="3" s="1"/>
  <c r="P321" i="3"/>
  <c r="Q321" i="3" s="1"/>
  <c r="R321" i="3" s="1"/>
  <c r="P472" i="3"/>
  <c r="Q472" i="3" s="1"/>
  <c r="R472" i="3" s="1"/>
  <c r="P643" i="3"/>
  <c r="Q643" i="3" s="1"/>
  <c r="R643" i="3" s="1"/>
  <c r="P415" i="3"/>
  <c r="Q415" i="3" s="1"/>
  <c r="R415" i="3" s="1"/>
  <c r="P366" i="3"/>
  <c r="Q366" i="3" s="1"/>
  <c r="R366" i="3" s="1"/>
  <c r="P216" i="3"/>
  <c r="Q216" i="3" s="1"/>
  <c r="R216" i="3" s="1"/>
  <c r="P429" i="3"/>
  <c r="Q429" i="3" s="1"/>
  <c r="R429" i="3" s="1"/>
  <c r="P477" i="3"/>
  <c r="Q477" i="3" s="1"/>
  <c r="R477" i="3" s="1"/>
  <c r="P276" i="3"/>
  <c r="Q276" i="3" s="1"/>
  <c r="R276" i="3" s="1"/>
  <c r="P319" i="3"/>
  <c r="Q319" i="3" s="1"/>
  <c r="R319" i="3" s="1"/>
  <c r="P292" i="3"/>
  <c r="Q292" i="3" s="1"/>
  <c r="R292" i="3" s="1"/>
  <c r="P400" i="3"/>
  <c r="Q400" i="3" s="1"/>
  <c r="R400" i="3" s="1"/>
  <c r="P254" i="3"/>
  <c r="Q254" i="3" s="1"/>
  <c r="R254" i="3" s="1"/>
  <c r="P378" i="3"/>
  <c r="Q378" i="3" s="1"/>
  <c r="R378" i="3" s="1"/>
  <c r="P565" i="3"/>
  <c r="Q565" i="3" s="1"/>
  <c r="R565" i="3" s="1"/>
  <c r="P228" i="3"/>
  <c r="Q228" i="3" s="1"/>
  <c r="R228" i="3" s="1"/>
  <c r="P640" i="3"/>
  <c r="Q640" i="3" s="1"/>
  <c r="R640" i="3" s="1"/>
  <c r="P128" i="3"/>
  <c r="Q128" i="3" s="1"/>
  <c r="R128" i="3" s="1"/>
  <c r="P116" i="3"/>
  <c r="Q116" i="3" s="1"/>
  <c r="R116" i="3" s="1"/>
  <c r="P259" i="3"/>
  <c r="Q259" i="3" s="1"/>
  <c r="R259" i="3" s="1"/>
  <c r="P234" i="3"/>
  <c r="Q234" i="3" s="1"/>
  <c r="R234" i="3" s="1"/>
  <c r="P320" i="3"/>
  <c r="Q320" i="3" s="1"/>
  <c r="R320" i="3" s="1"/>
  <c r="P109" i="3"/>
  <c r="Q109" i="3" s="1"/>
  <c r="R109" i="3" s="1"/>
  <c r="P132" i="3"/>
  <c r="Q132" i="3" s="1"/>
  <c r="R132" i="3" s="1"/>
  <c r="P223" i="3"/>
  <c r="Q223" i="3" s="1"/>
  <c r="R223" i="3" s="1"/>
  <c r="P215" i="3"/>
  <c r="Q215" i="3" s="1"/>
  <c r="R215" i="3" s="1"/>
  <c r="P171" i="3"/>
  <c r="Q171" i="3" s="1"/>
  <c r="R171" i="3" s="1"/>
  <c r="P553" i="3"/>
  <c r="Q553" i="3" s="1"/>
  <c r="R553" i="3" s="1"/>
  <c r="P396" i="3"/>
  <c r="Q396" i="3" s="1"/>
  <c r="R396" i="3" s="1"/>
  <c r="P73" i="3"/>
  <c r="Q73" i="3" s="1"/>
  <c r="R73" i="3" s="1"/>
  <c r="P457" i="3"/>
  <c r="Q457" i="3" s="1"/>
  <c r="R457" i="3" s="1"/>
  <c r="P376" i="3"/>
  <c r="Q376" i="3" s="1"/>
  <c r="R376" i="3" s="1"/>
  <c r="P579" i="3"/>
  <c r="Q579" i="3" s="1"/>
  <c r="R579" i="3" s="1"/>
  <c r="P650" i="3"/>
  <c r="Q650" i="3" s="1"/>
  <c r="R650" i="3" s="1"/>
  <c r="P431" i="3"/>
  <c r="Q431" i="3" s="1"/>
  <c r="R431" i="3" s="1"/>
  <c r="P8" i="3"/>
  <c r="Q8" i="3" s="1"/>
  <c r="R8" i="3" s="1"/>
  <c r="P568" i="3"/>
  <c r="Q568" i="3" s="1"/>
  <c r="R568" i="3" s="1"/>
  <c r="P117" i="3"/>
  <c r="Q117" i="3" s="1"/>
  <c r="R117" i="3" s="1"/>
  <c r="P281" i="3"/>
  <c r="Q281" i="3" s="1"/>
  <c r="R281" i="3" s="1"/>
  <c r="P301" i="3"/>
  <c r="Q301" i="3" s="1"/>
  <c r="R301" i="3" s="1"/>
  <c r="P611" i="3"/>
  <c r="Q611" i="3" s="1"/>
  <c r="R611" i="3" s="1"/>
  <c r="P468" i="3"/>
  <c r="Q468" i="3" s="1"/>
  <c r="R468" i="3" s="1"/>
  <c r="P212" i="3"/>
  <c r="Q212" i="3" s="1"/>
  <c r="R212" i="3" s="1"/>
  <c r="P121" i="3"/>
  <c r="Q121" i="3" s="1"/>
  <c r="R121" i="3" s="1"/>
  <c r="P253" i="3"/>
  <c r="Q253" i="3" s="1"/>
  <c r="R253" i="3" s="1"/>
  <c r="P63" i="3"/>
  <c r="Q63" i="3" s="1"/>
  <c r="R63" i="3" s="1"/>
  <c r="P387" i="3"/>
  <c r="Q387" i="3" s="1"/>
  <c r="R387" i="3" s="1"/>
  <c r="P204" i="3"/>
  <c r="Q204" i="3" s="1"/>
  <c r="R204" i="3" s="1"/>
  <c r="P119" i="3"/>
  <c r="Q119" i="3" s="1"/>
  <c r="R119" i="3" s="1"/>
  <c r="P420" i="3"/>
  <c r="Q420" i="3" s="1"/>
  <c r="R420" i="3" s="1"/>
  <c r="P313" i="3"/>
  <c r="Q313" i="3" s="1"/>
  <c r="R313" i="3" s="1"/>
  <c r="P633" i="3"/>
  <c r="Q633" i="3" s="1"/>
  <c r="R633" i="3" s="1"/>
  <c r="P296" i="3"/>
  <c r="Q296" i="3" s="1"/>
  <c r="R296" i="3" s="1"/>
  <c r="P373" i="3"/>
  <c r="Q373" i="3" s="1"/>
  <c r="R373" i="3" s="1"/>
  <c r="P342" i="3"/>
  <c r="Q342" i="3" s="1"/>
  <c r="R342" i="3" s="1"/>
  <c r="P567" i="3"/>
  <c r="Q567" i="3" s="1"/>
  <c r="R567" i="3" s="1"/>
  <c r="P500" i="3"/>
  <c r="Q500" i="3" s="1"/>
  <c r="R500" i="3" s="1"/>
  <c r="P179" i="3"/>
  <c r="Q179" i="3" s="1"/>
  <c r="R179" i="3" s="1"/>
  <c r="P82" i="3"/>
  <c r="Q82" i="3" s="1"/>
  <c r="R82" i="3" s="1"/>
  <c r="P189" i="3"/>
  <c r="Q189" i="3" s="1"/>
  <c r="R189" i="3" s="1"/>
  <c r="P414" i="3"/>
  <c r="Q414" i="3" s="1"/>
  <c r="R414" i="3" s="1"/>
  <c r="P374" i="3"/>
  <c r="Q374" i="3" s="1"/>
  <c r="R374" i="3" s="1"/>
  <c r="P369" i="3"/>
  <c r="Q369" i="3" s="1"/>
  <c r="R369" i="3" s="1"/>
  <c r="P518" i="3"/>
  <c r="Q518" i="3" s="1"/>
  <c r="R518" i="3" s="1"/>
  <c r="P283" i="3"/>
  <c r="Q283" i="3" s="1"/>
  <c r="R283" i="3" s="1"/>
  <c r="P590" i="3"/>
  <c r="Q590" i="3" s="1"/>
  <c r="R590" i="3" s="1"/>
  <c r="P425" i="3"/>
  <c r="Q425" i="3" s="1"/>
  <c r="R425" i="3" s="1"/>
  <c r="P322" i="3"/>
  <c r="Q322" i="3" s="1"/>
  <c r="R322" i="3" s="1"/>
  <c r="P195" i="3"/>
  <c r="Q195" i="3" s="1"/>
  <c r="R195" i="3" s="1"/>
  <c r="P147" i="3"/>
  <c r="Q147" i="3" s="1"/>
  <c r="R147" i="3" s="1"/>
  <c r="P630" i="3"/>
  <c r="Q630" i="3" s="1"/>
  <c r="R630" i="3" s="1"/>
  <c r="P444" i="3"/>
  <c r="Q444" i="3" s="1"/>
  <c r="R444" i="3" s="1"/>
  <c r="P577" i="3"/>
  <c r="Q577" i="3" s="1"/>
  <c r="R577" i="3" s="1"/>
  <c r="P352" i="3"/>
  <c r="Q352" i="3" s="1"/>
  <c r="R352" i="3" s="1"/>
  <c r="P284" i="3"/>
  <c r="Q284" i="3" s="1"/>
  <c r="R284" i="3" s="1"/>
  <c r="P266" i="3"/>
  <c r="Q266" i="3" s="1"/>
  <c r="R266" i="3" s="1"/>
  <c r="P340" i="3"/>
  <c r="Q340" i="3" s="1"/>
  <c r="R340" i="3" s="1"/>
  <c r="P584" i="3"/>
  <c r="Q584" i="3" s="1"/>
  <c r="R584" i="3" s="1"/>
  <c r="P135" i="3"/>
  <c r="Q135" i="3" s="1"/>
  <c r="R135" i="3" s="1"/>
  <c r="P19" i="3"/>
  <c r="Q19" i="3" s="1"/>
  <c r="R19" i="3" s="1"/>
  <c r="P106" i="3"/>
  <c r="Q106" i="3" s="1"/>
  <c r="R106" i="3" s="1"/>
  <c r="P252" i="3"/>
  <c r="Q252" i="3" s="1"/>
  <c r="R252" i="3" s="1"/>
  <c r="P224" i="3"/>
  <c r="Q224" i="3" s="1"/>
  <c r="R224" i="3" s="1"/>
  <c r="P371" i="3"/>
  <c r="Q371" i="3" s="1"/>
  <c r="R371" i="3" s="1"/>
  <c r="P435" i="3"/>
  <c r="Q435" i="3" s="1"/>
  <c r="R435" i="3" s="1"/>
  <c r="P448" i="3"/>
  <c r="Q448" i="3" s="1"/>
  <c r="R448" i="3" s="1"/>
  <c r="P145" i="3"/>
  <c r="Q145" i="3" s="1"/>
  <c r="R145" i="3" s="1"/>
  <c r="P275" i="3"/>
  <c r="Q275" i="3" s="1"/>
  <c r="R275" i="3" s="1"/>
  <c r="P354" i="3"/>
  <c r="Q354" i="3" s="1"/>
  <c r="R354" i="3" s="1"/>
  <c r="P150" i="3"/>
  <c r="Q150" i="3" s="1"/>
  <c r="R150" i="3" s="1"/>
  <c r="P410" i="3"/>
  <c r="Q410" i="3" s="1"/>
  <c r="R410" i="3" s="1"/>
  <c r="P612" i="3"/>
  <c r="Q612" i="3" s="1"/>
  <c r="R612" i="3" s="1"/>
  <c r="P341" i="3"/>
  <c r="Q341" i="3" s="1"/>
  <c r="R341" i="3" s="1"/>
  <c r="P440" i="3"/>
  <c r="Q440" i="3" s="1"/>
  <c r="R440" i="3" s="1"/>
  <c r="P144" i="3"/>
  <c r="Q144" i="3" s="1"/>
  <c r="R144" i="3" s="1"/>
  <c r="P510" i="3"/>
  <c r="Q510" i="3" s="1"/>
  <c r="R510" i="3" s="1"/>
  <c r="P576" i="3"/>
  <c r="Q576" i="3" s="1"/>
  <c r="R576" i="3" s="1"/>
  <c r="P604" i="3"/>
  <c r="Q604" i="3" s="1"/>
  <c r="R604" i="3" s="1"/>
  <c r="P541" i="3"/>
  <c r="Q541" i="3" s="1"/>
  <c r="R541" i="3" s="1"/>
  <c r="P232" i="3"/>
  <c r="Q232" i="3" s="1"/>
  <c r="R232" i="3" s="1"/>
  <c r="P208" i="3"/>
  <c r="Q208" i="3" s="1"/>
  <c r="R208" i="3" s="1"/>
  <c r="P175" i="3"/>
  <c r="Q175" i="3" s="1"/>
  <c r="R175" i="3" s="1"/>
  <c r="P51" i="3"/>
  <c r="Q51" i="3" s="1"/>
  <c r="R51" i="3" s="1"/>
  <c r="P261" i="3"/>
  <c r="Q261" i="3" s="1"/>
  <c r="R261" i="3" s="1"/>
  <c r="P493" i="3"/>
  <c r="Q493" i="3" s="1"/>
  <c r="R493" i="3" s="1"/>
  <c r="P315" i="3"/>
  <c r="Q315" i="3" s="1"/>
  <c r="R315" i="3" s="1"/>
  <c r="P187" i="3"/>
  <c r="Q187" i="3" s="1"/>
  <c r="R187" i="3" s="1"/>
  <c r="P191" i="3"/>
  <c r="Q191" i="3" s="1"/>
  <c r="R191" i="3" s="1"/>
  <c r="P621" i="3"/>
  <c r="Q621" i="3" s="1"/>
  <c r="R621" i="3" s="1"/>
  <c r="H42" i="1"/>
  <c r="P490" i="3"/>
  <c r="Q490" i="3" s="1"/>
  <c r="R490" i="3" s="1"/>
  <c r="P154" i="3"/>
  <c r="Q154" i="3" s="1"/>
  <c r="R154" i="3" s="1"/>
  <c r="P597" i="3"/>
  <c r="Q597" i="3" s="1"/>
  <c r="R597" i="3" s="1"/>
  <c r="P625" i="3"/>
  <c r="Q625" i="3" s="1"/>
  <c r="R625" i="3" s="1"/>
  <c r="P628" i="3"/>
  <c r="Q628" i="3" s="1"/>
  <c r="R628" i="3" s="1"/>
  <c r="P487" i="3"/>
  <c r="Q487" i="3" s="1"/>
  <c r="R487" i="3" s="1"/>
  <c r="P159" i="3"/>
  <c r="Q159" i="3" s="1"/>
  <c r="R159" i="3" s="1"/>
  <c r="P357" i="3"/>
  <c r="Q357" i="3" s="1"/>
  <c r="R357" i="3" s="1"/>
  <c r="P572" i="3"/>
  <c r="Q572" i="3" s="1"/>
  <c r="R572" i="3" s="1"/>
  <c r="P196" i="3"/>
  <c r="Q196" i="3" s="1"/>
  <c r="R196" i="3" s="1"/>
  <c r="P473" i="3"/>
  <c r="Q473" i="3" s="1"/>
  <c r="R473" i="3" s="1"/>
  <c r="P288" i="3"/>
  <c r="Q288" i="3" s="1"/>
  <c r="R288" i="3" s="1"/>
  <c r="P220" i="3"/>
  <c r="Q220" i="3" s="1"/>
  <c r="R220" i="3" s="1"/>
  <c r="P365" i="3"/>
  <c r="Q365" i="3" s="1"/>
  <c r="R365" i="3" s="1"/>
  <c r="P336" i="3"/>
  <c r="Q336" i="3" s="1"/>
  <c r="R336" i="3" s="1"/>
  <c r="P335" i="3"/>
  <c r="Q335" i="3" s="1"/>
  <c r="R335" i="3" s="1"/>
  <c r="P76" i="3"/>
  <c r="Q76" i="3" s="1"/>
  <c r="R76" i="3" s="1"/>
  <c r="P372" i="3"/>
  <c r="Q372" i="3" s="1"/>
  <c r="R372" i="3" s="1"/>
  <c r="P361" i="3"/>
  <c r="Q361" i="3" s="1"/>
  <c r="R361" i="3" s="1"/>
  <c r="P149" i="3"/>
  <c r="Q149" i="3" s="1"/>
  <c r="R149" i="3" s="1"/>
  <c r="P77" i="3"/>
  <c r="Q77" i="3" s="1"/>
  <c r="R77" i="3" s="1"/>
  <c r="P57" i="3"/>
  <c r="Q57" i="3" s="1"/>
  <c r="R57" i="3" s="1"/>
  <c r="P599" i="3"/>
  <c r="Q599" i="3" s="1"/>
  <c r="R599" i="3" s="1"/>
  <c r="P115" i="3"/>
  <c r="Q115" i="3" s="1"/>
  <c r="R115" i="3" s="1"/>
  <c r="P523" i="3"/>
  <c r="Q523" i="3" s="1"/>
  <c r="R523" i="3" s="1"/>
  <c r="P24" i="3"/>
  <c r="Q24" i="3" s="1"/>
  <c r="R24" i="3" s="1"/>
  <c r="P460" i="3"/>
  <c r="Q460" i="3" s="1"/>
  <c r="R460" i="3" s="1"/>
  <c r="P53" i="3"/>
  <c r="Q53" i="3" s="1"/>
  <c r="R53" i="3" s="1"/>
  <c r="P545" i="3"/>
  <c r="Q545" i="3" s="1"/>
  <c r="R545" i="3" s="1"/>
  <c r="P556" i="3"/>
  <c r="Q556" i="3" s="1"/>
  <c r="R556" i="3" s="1"/>
  <c r="P225" i="3"/>
  <c r="Q225" i="3" s="1"/>
  <c r="R225" i="3" s="1"/>
  <c r="P546" i="3"/>
  <c r="Q546" i="3" s="1"/>
  <c r="R546" i="3" s="1"/>
  <c r="P388" i="3"/>
  <c r="Q388" i="3" s="1"/>
  <c r="R388" i="3" s="1"/>
  <c r="P69" i="3"/>
  <c r="Q69" i="3" s="1"/>
  <c r="R69" i="3" s="1"/>
  <c r="P324" i="3"/>
  <c r="Q324" i="3" s="1"/>
  <c r="R324" i="3" s="1"/>
  <c r="P598" i="3"/>
  <c r="Q598" i="3" s="1"/>
  <c r="R598" i="3" s="1"/>
  <c r="P511" i="3"/>
  <c r="Q511" i="3" s="1"/>
  <c r="R511" i="3" s="1"/>
  <c r="P458" i="3"/>
  <c r="Q458" i="3" s="1"/>
  <c r="R458" i="3" s="1"/>
  <c r="P250" i="3"/>
  <c r="Q250" i="3" s="1"/>
  <c r="R250" i="3" s="1"/>
  <c r="P10" i="3"/>
  <c r="Q10" i="3" s="1"/>
  <c r="R10" i="3" s="1"/>
  <c r="P205" i="3"/>
  <c r="Q205" i="3" s="1"/>
  <c r="R205" i="3" s="1"/>
  <c r="P248" i="3"/>
  <c r="Q248" i="3" s="1"/>
  <c r="R248" i="3" s="1"/>
  <c r="P644" i="3"/>
  <c r="Q644" i="3" s="1"/>
  <c r="R644" i="3" s="1"/>
  <c r="P155" i="3"/>
  <c r="Q155" i="3" s="1"/>
  <c r="R155" i="3" s="1"/>
  <c r="P430" i="3"/>
  <c r="Q430" i="3" s="1"/>
  <c r="R430" i="3" s="1"/>
  <c r="P157" i="3"/>
  <c r="Q157" i="3" s="1"/>
  <c r="R157" i="3" s="1"/>
  <c r="P260" i="3"/>
  <c r="Q260" i="3" s="1"/>
  <c r="R260" i="3" s="1"/>
  <c r="P551" i="3"/>
  <c r="Q551" i="3" s="1"/>
  <c r="R551" i="3" s="1"/>
  <c r="P131" i="3"/>
  <c r="Q131" i="3" s="1"/>
  <c r="R131" i="3" s="1"/>
  <c r="P80" i="3"/>
  <c r="Q80" i="3" s="1"/>
  <c r="R80" i="3" s="1"/>
  <c r="P501" i="3"/>
  <c r="Q501" i="3" s="1"/>
  <c r="R501" i="3" s="1"/>
  <c r="P367" i="3"/>
  <c r="Q367" i="3" s="1"/>
  <c r="R367" i="3" s="1"/>
  <c r="P244" i="3"/>
  <c r="Q244" i="3" s="1"/>
  <c r="R244" i="3" s="1"/>
  <c r="P381" i="3"/>
  <c r="Q381" i="3" s="1"/>
  <c r="R381" i="3" s="1"/>
  <c r="P15" i="3"/>
  <c r="Q15" i="3" s="1"/>
  <c r="R15" i="3" s="1"/>
  <c r="P402" i="3"/>
  <c r="Q402" i="3" s="1"/>
  <c r="R402" i="3" s="1"/>
  <c r="P67" i="3"/>
  <c r="Q67" i="3" s="1"/>
  <c r="R67" i="3" s="1"/>
  <c r="P65" i="3"/>
  <c r="Q65" i="3" s="1"/>
  <c r="R65" i="3" s="1"/>
  <c r="P27" i="3"/>
  <c r="Q27" i="3" s="1"/>
  <c r="R27" i="3" s="1"/>
  <c r="P295" i="3"/>
  <c r="Q295" i="3" s="1"/>
  <c r="R295" i="3" s="1"/>
  <c r="P413" i="3"/>
  <c r="Q413" i="3" s="1"/>
  <c r="R413" i="3" s="1"/>
  <c r="P245" i="3"/>
  <c r="Q245" i="3" s="1"/>
  <c r="R245" i="3" s="1"/>
  <c r="P46" i="3"/>
  <c r="Q46" i="3" s="1"/>
  <c r="R46" i="3" s="1"/>
  <c r="P134" i="3"/>
  <c r="Q134" i="3" s="1"/>
  <c r="R134" i="3" s="1"/>
  <c r="P184" i="3"/>
  <c r="Q184" i="3" s="1"/>
  <c r="R184" i="3" s="1"/>
  <c r="P12" i="3"/>
  <c r="Q12" i="3" s="1"/>
  <c r="R12" i="3" s="1"/>
  <c r="P50" i="3"/>
  <c r="Q50" i="3" s="1"/>
  <c r="R50" i="3" s="1"/>
  <c r="P515" i="3"/>
  <c r="Q515" i="3" s="1"/>
  <c r="R515" i="3" s="1"/>
  <c r="P610" i="3"/>
  <c r="Q610" i="3" s="1"/>
  <c r="R610" i="3" s="1"/>
  <c r="P582" i="3"/>
  <c r="Q582" i="3" s="1"/>
  <c r="R582" i="3" s="1"/>
  <c r="P55" i="3"/>
  <c r="Q55" i="3" s="1"/>
  <c r="R55" i="3" s="1"/>
  <c r="P327" i="3"/>
  <c r="Q327" i="3" s="1"/>
  <c r="R327" i="3" s="1"/>
  <c r="P143" i="3"/>
  <c r="Q143" i="3" s="1"/>
  <c r="R143" i="3" s="1"/>
  <c r="P64" i="3"/>
  <c r="Q64" i="3" s="1"/>
  <c r="R64" i="3" s="1"/>
  <c r="P353" i="3"/>
  <c r="Q353" i="3" s="1"/>
  <c r="R353" i="3" s="1"/>
  <c r="P616" i="3"/>
  <c r="Q616" i="3" s="1"/>
  <c r="R616" i="3" s="1"/>
  <c r="P393" i="3"/>
  <c r="Q393" i="3" s="1"/>
  <c r="R393" i="3" s="1"/>
  <c r="P18" i="3"/>
  <c r="Q18" i="3" s="1"/>
  <c r="R18" i="3" s="1"/>
  <c r="P574" i="3"/>
  <c r="Q574" i="3" s="1"/>
  <c r="R574" i="3" s="1"/>
  <c r="P140" i="3"/>
  <c r="Q140" i="3" s="1"/>
  <c r="R140" i="3" s="1"/>
  <c r="P331" i="3"/>
  <c r="Q331" i="3" s="1"/>
  <c r="R331" i="3" s="1"/>
  <c r="P583" i="3"/>
  <c r="Q583" i="3" s="1"/>
  <c r="R583" i="3" s="1"/>
  <c r="P426" i="3"/>
  <c r="Q426" i="3" s="1"/>
  <c r="R426" i="3" s="1"/>
  <c r="P349" i="3"/>
  <c r="Q349" i="3" s="1"/>
  <c r="R349" i="3" s="1"/>
  <c r="P263" i="3"/>
  <c r="Q263" i="3" s="1"/>
  <c r="R263" i="3" s="1"/>
  <c r="P593" i="3"/>
  <c r="Q593" i="3" s="1"/>
  <c r="R593" i="3" s="1"/>
  <c r="P495" i="3"/>
  <c r="Q495" i="3" s="1"/>
  <c r="R495" i="3" s="1"/>
  <c r="P504" i="3"/>
  <c r="Q504" i="3" s="1"/>
  <c r="R504" i="3" s="1"/>
  <c r="P394" i="3"/>
  <c r="Q394" i="3" s="1"/>
  <c r="R394" i="3" s="1"/>
  <c r="P453" i="3"/>
  <c r="Q453" i="3" s="1"/>
  <c r="R453" i="3" s="1"/>
  <c r="P398" i="3"/>
  <c r="Q398" i="3" s="1"/>
  <c r="R398" i="3" s="1"/>
  <c r="P613" i="3"/>
  <c r="Q613" i="3" s="1"/>
  <c r="R613" i="3" s="1"/>
  <c r="P585" i="3"/>
  <c r="Q585" i="3" s="1"/>
  <c r="R585" i="3" s="1"/>
  <c r="P25" i="3"/>
  <c r="Q25" i="3" s="1"/>
  <c r="R25" i="3" s="1"/>
  <c r="P35" i="3"/>
  <c r="Q35" i="3" s="1"/>
  <c r="R35" i="3" s="1"/>
  <c r="P52" i="3"/>
  <c r="Q52" i="3" s="1"/>
  <c r="R52" i="3" s="1"/>
  <c r="P507" i="3"/>
  <c r="Q507" i="3" s="1"/>
  <c r="R507" i="3" s="1"/>
  <c r="P623" i="3"/>
  <c r="Q623" i="3" s="1"/>
  <c r="R623" i="3" s="1"/>
  <c r="P476" i="3"/>
  <c r="Q476" i="3" s="1"/>
  <c r="R476" i="3" s="1"/>
  <c r="P107" i="3"/>
  <c r="Q107" i="3" s="1"/>
  <c r="R107" i="3" s="1"/>
  <c r="P167" i="3"/>
  <c r="Q167" i="3" s="1"/>
  <c r="R167" i="3" s="1"/>
  <c r="P206" i="3"/>
  <c r="Q206" i="3" s="1"/>
  <c r="R206" i="3" s="1"/>
  <c r="P47" i="3"/>
  <c r="Q47" i="3" s="1"/>
  <c r="R47" i="3" s="1"/>
  <c r="P29" i="3"/>
  <c r="Q29" i="3" s="1"/>
  <c r="R29" i="3" s="1"/>
  <c r="P345" i="3"/>
  <c r="Q345" i="3" s="1"/>
  <c r="R345" i="3" s="1"/>
  <c r="P118" i="3"/>
  <c r="Q118" i="3" s="1"/>
  <c r="R118" i="3" s="1"/>
  <c r="P13" i="3"/>
  <c r="Q13" i="3" s="1"/>
  <c r="R13" i="3" s="1"/>
  <c r="P416" i="3"/>
  <c r="Q416" i="3" s="1"/>
  <c r="R416" i="3" s="1"/>
  <c r="P104" i="3"/>
  <c r="Q104" i="3" s="1"/>
  <c r="R104" i="3" s="1"/>
  <c r="P111" i="3"/>
  <c r="Q111" i="3" s="1"/>
  <c r="R111" i="3" s="1"/>
  <c r="P103" i="3"/>
  <c r="Q103" i="3" s="1"/>
  <c r="R103" i="3" s="1"/>
  <c r="P302" i="3"/>
  <c r="Q302" i="3" s="1"/>
  <c r="R302" i="3" s="1"/>
  <c r="P307" i="3"/>
  <c r="Q307" i="3" s="1"/>
  <c r="R307" i="3" s="1"/>
  <c r="P60" i="3"/>
  <c r="Q60" i="3" s="1"/>
  <c r="R60" i="3" s="1"/>
  <c r="P178" i="3"/>
  <c r="Q178" i="3" s="1"/>
  <c r="R178" i="3" s="1"/>
  <c r="P404" i="3"/>
  <c r="Q404" i="3" s="1"/>
  <c r="R404" i="3" s="1"/>
  <c r="P573" i="3"/>
  <c r="Q573" i="3" s="1"/>
  <c r="R573" i="3" s="1"/>
  <c r="P268" i="3"/>
  <c r="Q268" i="3" s="1"/>
  <c r="R268" i="3" s="1"/>
  <c r="P480" i="3"/>
  <c r="Q480" i="3" s="1"/>
  <c r="R480" i="3" s="1"/>
  <c r="P333" i="3"/>
  <c r="Q333" i="3" s="1"/>
  <c r="R333" i="3" s="1"/>
  <c r="P42" i="3"/>
  <c r="Q42" i="3" s="1"/>
  <c r="R42" i="3" s="1"/>
  <c r="P126" i="3"/>
  <c r="Q126" i="3" s="1"/>
  <c r="R126" i="3" s="1"/>
  <c r="P561" i="3"/>
  <c r="Q561" i="3" s="1"/>
  <c r="R561" i="3" s="1"/>
  <c r="P287" i="3"/>
  <c r="Q287" i="3" s="1"/>
  <c r="R287" i="3" s="1"/>
  <c r="P596" i="3"/>
  <c r="Q596" i="3" s="1"/>
  <c r="R596" i="3" s="1"/>
  <c r="P539" i="3"/>
  <c r="Q539" i="3" s="1"/>
  <c r="R539" i="3" s="1"/>
  <c r="P519" i="3"/>
  <c r="Q519" i="3" s="1"/>
  <c r="R519" i="3" s="1"/>
  <c r="P114" i="3"/>
  <c r="Q114" i="3" s="1"/>
  <c r="R114" i="3" s="1"/>
  <c r="P68" i="3"/>
  <c r="Q68" i="3" s="1"/>
  <c r="R68" i="3" s="1"/>
  <c r="P277" i="3"/>
  <c r="Q277" i="3" s="1"/>
  <c r="R277" i="3" s="1"/>
  <c r="P543" i="3"/>
  <c r="Q543" i="3" s="1"/>
  <c r="R543" i="3" s="1"/>
  <c r="P434" i="3"/>
  <c r="Q434" i="3" s="1"/>
  <c r="R434" i="3" s="1"/>
  <c r="P337" i="3"/>
  <c r="Q337" i="3" s="1"/>
  <c r="R337" i="3" s="1"/>
  <c r="P652" i="3"/>
  <c r="Q652" i="3" s="1"/>
  <c r="R652" i="3" s="1"/>
  <c r="P170" i="3"/>
  <c r="Q170" i="3" s="1"/>
  <c r="R170" i="3" s="1"/>
  <c r="P237" i="3"/>
  <c r="Q237" i="3" s="1"/>
  <c r="R237" i="3" s="1"/>
  <c r="P401" i="3"/>
  <c r="Q401" i="3" s="1"/>
  <c r="R401" i="3" s="1"/>
  <c r="P197" i="3"/>
  <c r="Q197" i="3" s="1"/>
  <c r="R197" i="3" s="1"/>
  <c r="P168" i="3"/>
  <c r="Q168" i="3" s="1"/>
  <c r="R168" i="3" s="1"/>
  <c r="P162" i="3"/>
  <c r="Q162" i="3" s="1"/>
  <c r="R162" i="3" s="1"/>
  <c r="P105" i="3"/>
  <c r="Q105" i="3" s="1"/>
  <c r="R105" i="3" s="1"/>
  <c r="P233" i="3"/>
  <c r="Q233" i="3" s="1"/>
  <c r="R233" i="3" s="1"/>
  <c r="P308" i="3"/>
  <c r="Q308" i="3" s="1"/>
  <c r="R308" i="3" s="1"/>
  <c r="P75" i="3"/>
  <c r="Q75" i="3" s="1"/>
  <c r="R75" i="3" s="1"/>
  <c r="P58" i="3"/>
  <c r="Q58" i="3" s="1"/>
  <c r="R58" i="3" s="1"/>
  <c r="P59" i="3"/>
  <c r="Q59" i="3" s="1"/>
  <c r="R59" i="3" s="1"/>
  <c r="P350" i="3"/>
  <c r="Q350" i="3" s="1"/>
  <c r="R350" i="3" s="1"/>
  <c r="P110" i="3"/>
  <c r="Q110" i="3" s="1"/>
  <c r="R110" i="3" s="1"/>
  <c r="P647" i="3"/>
  <c r="Q647" i="3" s="1"/>
  <c r="R647" i="3" s="1"/>
  <c r="P406" i="3"/>
  <c r="Q406" i="3" s="1"/>
  <c r="R406" i="3" s="1"/>
  <c r="P424" i="3"/>
  <c r="Q424" i="3" s="1"/>
  <c r="R424" i="3" s="1"/>
  <c r="P418" i="3"/>
  <c r="Q418" i="3" s="1"/>
  <c r="R418" i="3" s="1"/>
  <c r="P152" i="3"/>
  <c r="Q152" i="3" s="1"/>
  <c r="R152" i="3" s="1"/>
  <c r="P347" i="3"/>
  <c r="Q347" i="3" s="1"/>
  <c r="R347" i="3" s="1"/>
  <c r="P186" i="3"/>
  <c r="Q186" i="3" s="1"/>
  <c r="R186" i="3" s="1"/>
  <c r="P41" i="3"/>
  <c r="Q41" i="3" s="1"/>
  <c r="R41" i="3" s="1"/>
  <c r="P355" i="3"/>
  <c r="Q355" i="3" s="1"/>
  <c r="R355" i="3" s="1"/>
  <c r="P447" i="3"/>
  <c r="Q447" i="3" s="1"/>
  <c r="R447" i="3" s="1"/>
  <c r="P419" i="3"/>
  <c r="Q419" i="3" s="1"/>
  <c r="R419" i="3" s="1"/>
  <c r="P338" i="3"/>
  <c r="Q338" i="3" s="1"/>
  <c r="R338" i="3" s="1"/>
  <c r="P40" i="3"/>
  <c r="Q40" i="3" s="1"/>
  <c r="R40" i="3" s="1"/>
  <c r="P36" i="3"/>
  <c r="Q36" i="3" s="1"/>
  <c r="R36" i="3" s="1"/>
  <c r="P37" i="3"/>
  <c r="Q37" i="3" s="1"/>
  <c r="R37" i="3" s="1"/>
  <c r="P409" i="3"/>
  <c r="Q409" i="3" s="1"/>
  <c r="R409" i="3" s="1"/>
  <c r="P571" i="3"/>
  <c r="Q571" i="3" s="1"/>
  <c r="R571" i="3" s="1"/>
  <c r="P521" i="3"/>
  <c r="Q521" i="3" s="1"/>
  <c r="R521" i="3" s="1"/>
  <c r="P462" i="3"/>
  <c r="Q462" i="3" s="1"/>
  <c r="R462" i="3" s="1"/>
  <c r="P193" i="3"/>
  <c r="Q193" i="3" s="1"/>
  <c r="R193" i="3" s="1"/>
  <c r="P375" i="3"/>
  <c r="Q375" i="3" s="1"/>
  <c r="R375" i="3" s="1"/>
  <c r="P61" i="3"/>
  <c r="Q61" i="3" s="1"/>
  <c r="R61" i="3" s="1"/>
  <c r="P639" i="3"/>
  <c r="Q639" i="3" s="1"/>
  <c r="R639" i="3" s="1"/>
  <c r="P231" i="3"/>
  <c r="Q231" i="3" s="1"/>
  <c r="R231" i="3" s="1"/>
  <c r="P439" i="3"/>
  <c r="Q439" i="3" s="1"/>
  <c r="R439" i="3" s="1"/>
  <c r="P479" i="3"/>
  <c r="Q479" i="3" s="1"/>
  <c r="R479" i="3" s="1"/>
  <c r="P20" i="3"/>
  <c r="Q20" i="3" s="1"/>
  <c r="R20" i="3" s="1"/>
  <c r="P535" i="3"/>
  <c r="Q535" i="3" s="1"/>
  <c r="R535" i="3" s="1"/>
  <c r="P632" i="3"/>
  <c r="Q632" i="3" s="1"/>
  <c r="R632" i="3" s="1"/>
  <c r="P129" i="3"/>
  <c r="Q129" i="3" s="1"/>
  <c r="R129" i="3" s="1"/>
  <c r="P509" i="3"/>
  <c r="Q509" i="3" s="1"/>
  <c r="R509" i="3" s="1"/>
  <c r="P79" i="3"/>
  <c r="Q79" i="3" s="1"/>
  <c r="R79" i="3" s="1"/>
  <c r="P391" i="3"/>
  <c r="Q391" i="3" s="1"/>
  <c r="R391" i="3" s="1"/>
  <c r="P172" i="3"/>
  <c r="Q172" i="3" s="1"/>
  <c r="R172" i="3" s="1"/>
  <c r="P229" i="3"/>
  <c r="Q229" i="3" s="1"/>
  <c r="R229" i="3" s="1"/>
  <c r="P219" i="3"/>
  <c r="Q219" i="3" s="1"/>
  <c r="R219" i="3" s="1"/>
  <c r="P66" i="3"/>
  <c r="Q66" i="3" s="1"/>
  <c r="R66" i="3" s="1"/>
  <c r="P363" i="3"/>
  <c r="Q363" i="3" s="1"/>
  <c r="R363" i="3" s="1"/>
  <c r="P645" i="3"/>
  <c r="Q645" i="3" s="1"/>
  <c r="R645" i="3" s="1"/>
  <c r="P213" i="3"/>
  <c r="Q213" i="3" s="1"/>
  <c r="R213" i="3" s="1"/>
  <c r="P31" i="3"/>
  <c r="Q31" i="3" s="1"/>
  <c r="R31" i="3" s="1"/>
  <c r="P595" i="3"/>
  <c r="Q595" i="3" s="1"/>
  <c r="R595" i="3" s="1"/>
  <c r="P227" i="3"/>
  <c r="Q227" i="3" s="1"/>
  <c r="R227" i="3" s="1"/>
  <c r="P318" i="3"/>
  <c r="Q318" i="3" s="1"/>
  <c r="R318" i="3" s="1"/>
  <c r="P238" i="3"/>
  <c r="Q238" i="3" s="1"/>
  <c r="R238" i="3" s="1"/>
  <c r="P211" i="3"/>
  <c r="Q211" i="3" s="1"/>
  <c r="R211" i="3" s="1"/>
  <c r="P488" i="3"/>
  <c r="Q488" i="3" s="1"/>
  <c r="R488" i="3" s="1"/>
  <c r="P192" i="3"/>
  <c r="Q192" i="3" s="1"/>
  <c r="R192" i="3" s="1"/>
  <c r="P411" i="3"/>
  <c r="Q411" i="3" s="1"/>
  <c r="R411" i="3" s="1"/>
  <c r="P339" i="3"/>
  <c r="Q339" i="3" s="1"/>
  <c r="R339" i="3" s="1"/>
  <c r="P181" i="3"/>
  <c r="Q181" i="3" s="1"/>
  <c r="R181" i="3" s="1"/>
  <c r="P71" i="3"/>
  <c r="Q71" i="3" s="1"/>
  <c r="R71" i="3" s="1"/>
  <c r="P489" i="3"/>
  <c r="Q489" i="3" s="1"/>
  <c r="R489" i="3" s="1"/>
  <c r="P54" i="3"/>
  <c r="Q54" i="3" s="1"/>
  <c r="R54" i="3" s="1"/>
  <c r="P397" i="3"/>
  <c r="Q397" i="3" s="1"/>
  <c r="R397" i="3" s="1"/>
  <c r="P264" i="3"/>
  <c r="Q264" i="3" s="1"/>
  <c r="R264" i="3" s="1"/>
  <c r="P390" i="3"/>
  <c r="Q390" i="3" s="1"/>
  <c r="R390" i="3" s="1"/>
  <c r="P70" i="3"/>
  <c r="Q70" i="3" s="1"/>
  <c r="R70" i="3" s="1"/>
  <c r="P98" i="3"/>
  <c r="Q98" i="3" s="1"/>
  <c r="R98" i="3" s="1"/>
  <c r="P251" i="3"/>
  <c r="Q251" i="3" s="1"/>
  <c r="R251" i="3" s="1"/>
  <c r="P364" i="3"/>
  <c r="Q364" i="3" s="1"/>
  <c r="R364" i="3" s="1"/>
  <c r="P589" i="3"/>
  <c r="Q589" i="3" s="1"/>
  <c r="R589" i="3" s="1"/>
  <c r="P306" i="3"/>
  <c r="Q306" i="3" s="1"/>
  <c r="R306" i="3" s="1"/>
  <c r="P609" i="3"/>
  <c r="Q609" i="3" s="1"/>
  <c r="R609" i="3" s="1"/>
  <c r="P412" i="3"/>
  <c r="Q412" i="3" s="1"/>
  <c r="R412" i="3" s="1"/>
  <c r="P466" i="3"/>
  <c r="Q466" i="3" s="1"/>
  <c r="R466" i="3" s="1"/>
  <c r="P247" i="3"/>
  <c r="Q247" i="3" s="1"/>
  <c r="R247" i="3" s="1"/>
  <c r="P280" i="3"/>
  <c r="Q280" i="3" s="1"/>
  <c r="R280" i="3" s="1"/>
  <c r="P601" i="3"/>
  <c r="Q601" i="3" s="1"/>
  <c r="R601" i="3" s="1"/>
  <c r="P626" i="3"/>
  <c r="Q626" i="3" s="1"/>
  <c r="R626" i="3" s="1"/>
  <c r="P564" i="3"/>
  <c r="Q564" i="3" s="1"/>
  <c r="R564" i="3" s="1"/>
  <c r="P657" i="3"/>
  <c r="Q657" i="3" s="1"/>
  <c r="R657" i="3" s="1"/>
  <c r="P123" i="3"/>
  <c r="Q123" i="3" s="1"/>
  <c r="R123" i="3" s="1"/>
  <c r="P524" i="3"/>
  <c r="Q524" i="3" s="1"/>
  <c r="R524" i="3" s="1"/>
  <c r="P146" i="3"/>
  <c r="Q146" i="3" s="1"/>
  <c r="R146" i="3" s="1"/>
  <c r="P651" i="3"/>
  <c r="Q651" i="3" s="1"/>
  <c r="R651" i="3" s="1"/>
  <c r="P484" i="3"/>
  <c r="Q484" i="3" s="1"/>
  <c r="R484" i="3" s="1"/>
  <c r="P22" i="3"/>
  <c r="Q22" i="3" s="1"/>
  <c r="R22" i="3" s="1"/>
  <c r="P362" i="3"/>
  <c r="Q362" i="3" s="1"/>
  <c r="R362" i="3" s="1"/>
  <c r="P33" i="3"/>
  <c r="Q33" i="3" s="1"/>
  <c r="R33" i="3" s="1"/>
  <c r="P649" i="3"/>
  <c r="Q649" i="3" s="1"/>
  <c r="R649" i="3" s="1"/>
  <c r="P323" i="3"/>
  <c r="Q323" i="3" s="1"/>
  <c r="R323" i="3" s="1"/>
  <c r="Q491" i="3"/>
  <c r="R491" i="3" s="1"/>
  <c r="P491" i="3"/>
  <c r="P158" i="3"/>
  <c r="Q158" i="3" s="1"/>
  <c r="R158" i="3" s="1"/>
  <c r="P96" i="3"/>
  <c r="Q96" i="3" s="1"/>
  <c r="R96" i="3" s="1"/>
  <c r="P235" i="3"/>
  <c r="Q235" i="3" s="1"/>
  <c r="R235" i="3" s="1"/>
  <c r="P165" i="3"/>
  <c r="Q165" i="3" s="1"/>
  <c r="R165" i="3" s="1"/>
  <c r="P299" i="3"/>
  <c r="Q299" i="3" s="1"/>
  <c r="R299" i="3" s="1"/>
  <c r="P133" i="3"/>
  <c r="Q133" i="3" s="1"/>
  <c r="R133" i="3" s="1"/>
  <c r="P272" i="3"/>
  <c r="Q272" i="3" s="1"/>
  <c r="R272" i="3" s="1"/>
  <c r="P62" i="3"/>
  <c r="Q62" i="3" s="1"/>
  <c r="R62" i="3" s="1"/>
  <c r="P498" i="3"/>
  <c r="Q498" i="3" s="1"/>
  <c r="R498" i="3" s="1"/>
  <c r="P481" i="3"/>
  <c r="Q481" i="3" s="1"/>
  <c r="R481" i="3" s="1"/>
  <c r="P570" i="3"/>
  <c r="Q570" i="3" s="1"/>
  <c r="R570" i="3" s="1"/>
  <c r="P531" i="3"/>
  <c r="Q531" i="3" s="1"/>
  <c r="R531" i="3" s="1"/>
  <c r="P463" i="3"/>
  <c r="Q463" i="3" s="1"/>
  <c r="R463" i="3" s="1"/>
  <c r="P520" i="3"/>
  <c r="Q520" i="3" s="1"/>
  <c r="R520" i="3" s="1"/>
  <c r="P332" i="3"/>
  <c r="Q332" i="3" s="1"/>
  <c r="R332" i="3" s="1"/>
  <c r="P185" i="3"/>
  <c r="Q185" i="3" s="1"/>
  <c r="R185" i="3" s="1"/>
  <c r="P494" i="3"/>
  <c r="Q494" i="3" s="1"/>
  <c r="R494" i="3" s="1"/>
  <c r="P575" i="3"/>
  <c r="Q575" i="3" s="1"/>
  <c r="R575" i="3" s="1"/>
  <c r="P536" i="3"/>
  <c r="Q536" i="3" s="1"/>
  <c r="R536" i="3" s="1"/>
  <c r="P587" i="3"/>
  <c r="Q587" i="3" s="1"/>
  <c r="R587" i="3" s="1"/>
  <c r="P620" i="3"/>
  <c r="Q620" i="3" s="1"/>
  <c r="R620" i="3" s="1"/>
  <c r="P566" i="3"/>
  <c r="Q566" i="3" s="1"/>
  <c r="R566" i="3" s="1"/>
  <c r="P629" i="3"/>
  <c r="Q629" i="3" s="1"/>
  <c r="R629" i="3" s="1"/>
  <c r="P482" i="3"/>
  <c r="Q482" i="3" s="1"/>
  <c r="R482" i="3" s="1"/>
  <c r="P56" i="3"/>
  <c r="Q56" i="3" s="1"/>
  <c r="R56" i="3" s="1"/>
  <c r="P516" i="3"/>
  <c r="Q516" i="3" s="1"/>
  <c r="R516" i="3" s="1"/>
  <c r="P467" i="3"/>
  <c r="Q467" i="3" s="1"/>
  <c r="R467" i="3" s="1"/>
  <c r="P14" i="3"/>
  <c r="Q14" i="3" s="1"/>
  <c r="R14" i="3" s="1"/>
  <c r="P557" i="3"/>
  <c r="Q557" i="3" s="1"/>
  <c r="R557" i="3" s="1"/>
  <c r="P638" i="3"/>
  <c r="Q638" i="3" s="1"/>
  <c r="R638" i="3" s="1"/>
  <c r="P534" i="3"/>
  <c r="Q534" i="3" s="1"/>
  <c r="R534" i="3" s="1"/>
  <c r="P85" i="3"/>
  <c r="Q85" i="3" s="1"/>
  <c r="R85" i="3" s="1"/>
  <c r="P34" i="3"/>
  <c r="Q34" i="3" s="1"/>
  <c r="R34" i="3" s="1"/>
  <c r="P285" i="3"/>
  <c r="Q285" i="3" s="1"/>
  <c r="R285" i="3" s="1"/>
  <c r="P356" i="3"/>
  <c r="Q356" i="3" s="1"/>
  <c r="R356" i="3" s="1"/>
  <c r="P358" i="3"/>
  <c r="Q358" i="3" s="1"/>
  <c r="R358" i="3" s="1"/>
  <c r="P78" i="3"/>
  <c r="Q78" i="3" s="1"/>
  <c r="R78" i="3" s="1"/>
  <c r="P28" i="3"/>
  <c r="Q28" i="3" s="1"/>
  <c r="R28" i="3" s="1"/>
  <c r="P464" i="3"/>
  <c r="Q464" i="3" s="1"/>
  <c r="R464" i="3" s="1"/>
  <c r="P95" i="3"/>
  <c r="Q95" i="3" s="1"/>
  <c r="R95" i="3" s="1"/>
  <c r="P289" i="3"/>
  <c r="Q289" i="3" s="1"/>
  <c r="R289" i="3" s="1"/>
  <c r="P532" i="3"/>
  <c r="Q532" i="3" s="1"/>
  <c r="R532" i="3" s="1"/>
  <c r="P86" i="3"/>
  <c r="Q86" i="3" s="1"/>
  <c r="R86" i="3" s="1"/>
  <c r="P438" i="3"/>
  <c r="Q438" i="3"/>
  <c r="R438" i="3" s="1"/>
  <c r="P203" i="3"/>
  <c r="Q203" i="3" s="1"/>
  <c r="R203" i="3" s="1"/>
  <c r="P239" i="3"/>
  <c r="Q239" i="3" s="1"/>
  <c r="R239" i="3" s="1"/>
  <c r="P74" i="3"/>
  <c r="Q74" i="3" s="1"/>
  <c r="R74" i="3" s="1"/>
  <c r="P122" i="3"/>
  <c r="Q122" i="3"/>
  <c r="R122" i="3" s="1"/>
  <c r="P164" i="3"/>
  <c r="Q164" i="3" s="1"/>
  <c r="R164" i="3" s="1"/>
  <c r="P151" i="3"/>
  <c r="Q151" i="3" s="1"/>
  <c r="R151" i="3" s="1"/>
  <c r="P395" i="3"/>
  <c r="Q395" i="3" s="1"/>
  <c r="R395" i="3" s="1"/>
  <c r="P271" i="3"/>
  <c r="Q271" i="3" s="1"/>
  <c r="R271" i="3" s="1"/>
  <c r="Q166" i="3"/>
  <c r="R166" i="3" s="1"/>
  <c r="P166" i="3"/>
  <c r="P492" i="3"/>
  <c r="Q492" i="3" s="1"/>
  <c r="R492" i="3" s="1"/>
  <c r="P188" i="3"/>
  <c r="Q188" i="3" s="1"/>
  <c r="R188" i="3" s="1"/>
</calcChain>
</file>

<file path=xl/sharedStrings.xml><?xml version="1.0" encoding="utf-8"?>
<sst xmlns="http://schemas.openxmlformats.org/spreadsheetml/2006/main" count="2146" uniqueCount="687">
  <si>
    <t>PLASTIR SRL  |  Liquidación de mercancías</t>
  </si>
  <si>
    <t>Referencia de la operación</t>
  </si>
  <si>
    <t>A26TM06007  |  4 facturas  |  Ningbo a Caucedo</t>
  </si>
  <si>
    <t>Proveedor</t>
  </si>
  <si>
    <t>NINGBO TOPWIN CO., LTD</t>
  </si>
  <si>
    <t>Término comercial</t>
  </si>
  <si>
    <t>FOB  |  transporte marítimo</t>
  </si>
  <si>
    <t>Consignatario en facturas</t>
  </si>
  <si>
    <t>JLG CARGO SRL  |  validar vínculo con PLASTIR SRL</t>
  </si>
  <si>
    <t>Tasa USD / RD$</t>
  </si>
  <si>
    <t>Estado de liquidación</t>
  </si>
  <si>
    <t>COMPONENTES DE COSTO</t>
  </si>
  <si>
    <t>Mercancía FOB según facturas USD</t>
  </si>
  <si>
    <t>Descuentos del proveedor USD</t>
  </si>
  <si>
    <t>Comisión según facturas USD</t>
  </si>
  <si>
    <t>Flete internacional USD</t>
  </si>
  <si>
    <t>Seguro internacional USD</t>
  </si>
  <si>
    <t>Costo factura liquidado USD</t>
  </si>
  <si>
    <t>Costo convertido RD$</t>
  </si>
  <si>
    <t>Gastos y tributos capitalizables RD$</t>
  </si>
  <si>
    <t>COSTO TOTAL INVENTARIO RD$</t>
  </si>
  <si>
    <t>Costo promedio por unidad RD$</t>
  </si>
  <si>
    <t>ITBIS pagado RD$</t>
  </si>
  <si>
    <t>ITBIS recuperable RD$</t>
  </si>
  <si>
    <t>RECONCILIACIÓN DOCUMENTAL</t>
  </si>
  <si>
    <t>Facturas</t>
  </si>
  <si>
    <t>Renglones de artículos</t>
  </si>
  <si>
    <t>Unidades según facturas</t>
  </si>
  <si>
    <t>Cajas según facturas</t>
  </si>
  <si>
    <t>Diferencia líneas vs. subtotales USD</t>
  </si>
  <si>
    <t>Diferencia de cierre de facturas USD</t>
  </si>
  <si>
    <t>Nota de revisión</t>
  </si>
  <si>
    <t>Las facturas nombran a JLG CARGO SRL; validar soporte de PLASTIR.</t>
  </si>
  <si>
    <t>El prorrateo corrige los centavos con el subtotal FOB impreso.</t>
  </si>
  <si>
    <t>Prorrateo de arancel por valor; ajustar si DUA diferencia partidas.</t>
  </si>
  <si>
    <t>Control distribución USD</t>
  </si>
  <si>
    <t>Control distribución RD$</t>
  </si>
  <si>
    <t>Facturas, controles y gastos de importación</t>
  </si>
  <si>
    <t>Operación</t>
  </si>
  <si>
    <t>A26TM06007</t>
  </si>
  <si>
    <t>Ingrese la tasa efectiva usada para la liquidación.</t>
  </si>
  <si>
    <t>Facturas del proveedor  |  campos amarillos: editar / completar</t>
  </si>
  <si>
    <t>Factura</t>
  </si>
  <si>
    <t>Fecha</t>
  </si>
  <si>
    <t>Destinatario</t>
  </si>
  <si>
    <t>FOB PDF USD</t>
  </si>
  <si>
    <t>Detalle USD</t>
  </si>
  <si>
    <t>Diferencia USD</t>
  </si>
  <si>
    <t>Descuento USD</t>
  </si>
  <si>
    <t>Comisión USD</t>
  </si>
  <si>
    <t>Flete USD</t>
  </si>
  <si>
    <t>Seguro USD</t>
  </si>
  <si>
    <t>Total calculado USD</t>
  </si>
  <si>
    <t>Total PDF USD</t>
  </si>
  <si>
    <t>Diferencia total</t>
  </si>
  <si>
    <t>Cajas</t>
  </si>
  <si>
    <t>Unidades</t>
  </si>
  <si>
    <t>Control</t>
  </si>
  <si>
    <t>A26TM06007-1</t>
  </si>
  <si>
    <t>JLG CARGO SRL</t>
  </si>
  <si>
    <t>A26TM06007-2</t>
  </si>
  <si>
    <t>A26TM06007-3</t>
  </si>
  <si>
    <t>A26TM06007-4</t>
  </si>
  <si>
    <t>Total operación</t>
  </si>
  <si>
    <t>Fuente: NINGBO TOPWIN CO., LTD, facturas A26TM06007-1 a -4, fechadas 28/07/2026, PDF adjunto, páginas de INVOICE.</t>
  </si>
  <si>
    <t>Los subtotales oficiales prevalecen para distribuir centavos: diferencia detalle y diferencias del cierre quedan visibles.</t>
  </si>
  <si>
    <t>Gastos pagados en RD$  |  documentar valores reales</t>
  </si>
  <si>
    <t>Concepto</t>
  </si>
  <si>
    <t>Valor RD$</t>
  </si>
  <si>
    <t>Soporte / número</t>
  </si>
  <si>
    <t>Tratamiento</t>
  </si>
  <si>
    <t>Arancel aduanero</t>
  </si>
  <si>
    <t>Costo inventario</t>
  </si>
  <si>
    <t>Impuesto selectivo al consumo</t>
  </si>
  <si>
    <t>Tasas y servicios portuarios</t>
  </si>
  <si>
    <t>Agente aduanal y despacho</t>
  </si>
  <si>
    <t>Transporte local a almacén</t>
  </si>
  <si>
    <t>Almacenaje antes de disponibilidad</t>
  </si>
  <si>
    <t>Inspección y manipulación</t>
  </si>
  <si>
    <t>Otros gastos atribuibles 1</t>
  </si>
  <si>
    <t>Otros gastos atribuibles 2</t>
  </si>
  <si>
    <t>Subtotal otros gastos y tributos</t>
  </si>
  <si>
    <t>ITBIS pagado  |  valor DUA</t>
  </si>
  <si>
    <t>ITBIS recuperable  |  crédito fiscal</t>
  </si>
  <si>
    <t>ITBIS no recuperable  |  costo</t>
  </si>
  <si>
    <t>GASTOS CAPITALIZABLES RD$</t>
  </si>
  <si>
    <t>Control ITBIS</t>
  </si>
  <si>
    <t>Guía</t>
  </si>
  <si>
    <t>Registrar costos nacionales sin duplicar comisión, flete y seguro ya incluidos arriba.</t>
  </si>
  <si>
    <t>Capturar ITBIS recuperable solo con derecho a crédito; el saldo no recuperable integra el inventario.</t>
  </si>
  <si>
    <t>Si un gasto no corresponde al inventario, registrarlo fuera de esta plantilla.</t>
  </si>
  <si>
    <t>Mercancías  |  costo por artículo</t>
  </si>
  <si>
    <t>Fuente: facturas y listas de empaque NINGBO TOPWIN CO., LTD, A26TM06007-1 a -4, PDF adjunto (46 páginas).</t>
  </si>
  <si>
    <t>Valor USD de cada línea: total impreso; precio unitario mostrado puede estar redondeado.</t>
  </si>
  <si>
    <t>Distribución: FOB según subtotal impreso; luego descuento, comisión, flete, seguro y gastos RD$ proporcionales al valor por factura.</t>
  </si>
  <si>
    <t>Núm.</t>
  </si>
  <si>
    <t>Código SKU</t>
  </si>
  <si>
    <t>Descripción</t>
  </si>
  <si>
    <t>Unidad</t>
  </si>
  <si>
    <t>Precio ref. USD</t>
  </si>
  <si>
    <t>Importe PDF USD</t>
  </si>
  <si>
    <t>FOB conciliado USD</t>
  </si>
  <si>
    <t>Costo puesto USD</t>
  </si>
  <si>
    <t>Gastos RD$</t>
  </si>
  <si>
    <t>Costo total RD$</t>
  </si>
  <si>
    <t>Unitario RD$</t>
  </si>
  <si>
    <t>PG153</t>
  </si>
  <si>
    <t>Imán de nevera</t>
  </si>
  <si>
    <t>PCS</t>
  </si>
  <si>
    <t>PG154</t>
  </si>
  <si>
    <t>PG155</t>
  </si>
  <si>
    <t>PG283</t>
  </si>
  <si>
    <t>set de taza</t>
  </si>
  <si>
    <t>PG284</t>
  </si>
  <si>
    <t>PG286</t>
  </si>
  <si>
    <t>PG289</t>
  </si>
  <si>
    <t>PG302</t>
  </si>
  <si>
    <t>PG328</t>
  </si>
  <si>
    <t>Organizadores de especies</t>
  </si>
  <si>
    <t>PG329</t>
  </si>
  <si>
    <t>PG330</t>
  </si>
  <si>
    <t>Jarra con grifo</t>
  </si>
  <si>
    <t>PG332</t>
  </si>
  <si>
    <t>PG333</t>
  </si>
  <si>
    <t>PG334</t>
  </si>
  <si>
    <t>PG335-1</t>
  </si>
  <si>
    <t>PG335-2</t>
  </si>
  <si>
    <t>PG338</t>
  </si>
  <si>
    <t>PG339</t>
  </si>
  <si>
    <t>PG340</t>
  </si>
  <si>
    <t>PG343</t>
  </si>
  <si>
    <t>PG346</t>
  </si>
  <si>
    <t>vaso</t>
  </si>
  <si>
    <t>PG347</t>
  </si>
  <si>
    <t>vaso con tapa</t>
  </si>
  <si>
    <t>PG348</t>
  </si>
  <si>
    <t>PG376</t>
  </si>
  <si>
    <t>plato</t>
  </si>
  <si>
    <t>PG377</t>
  </si>
  <si>
    <t>PG378</t>
  </si>
  <si>
    <t>tazon</t>
  </si>
  <si>
    <t>PG379</t>
  </si>
  <si>
    <t>PG380</t>
  </si>
  <si>
    <t>PG381</t>
  </si>
  <si>
    <t>PG382</t>
  </si>
  <si>
    <t>PG384</t>
  </si>
  <si>
    <t>16 set de plato y tazon</t>
  </si>
  <si>
    <t>PG389</t>
  </si>
  <si>
    <t>mesita</t>
  </si>
  <si>
    <t>PG390</t>
  </si>
  <si>
    <t>PG395</t>
  </si>
  <si>
    <t>PG397</t>
  </si>
  <si>
    <t>PG398</t>
  </si>
  <si>
    <t>PG403</t>
  </si>
  <si>
    <t>PG405</t>
  </si>
  <si>
    <t>PG412</t>
  </si>
  <si>
    <t>PG414</t>
  </si>
  <si>
    <t>estante</t>
  </si>
  <si>
    <t>PG416</t>
  </si>
  <si>
    <t>PG417</t>
  </si>
  <si>
    <t>PG419</t>
  </si>
  <si>
    <t>PG420</t>
  </si>
  <si>
    <t>PG425</t>
  </si>
  <si>
    <t>Estante metálico de pared</t>
  </si>
  <si>
    <t>PG428</t>
  </si>
  <si>
    <t>PG429</t>
  </si>
  <si>
    <t>PG432</t>
  </si>
  <si>
    <t>Barra para colgar ropa</t>
  </si>
  <si>
    <t>PG436</t>
  </si>
  <si>
    <t>Estante de pared</t>
  </si>
  <si>
    <t>KF722</t>
  </si>
  <si>
    <t>Cantina</t>
  </si>
  <si>
    <t>SET</t>
  </si>
  <si>
    <t>KF723</t>
  </si>
  <si>
    <t>KF724</t>
  </si>
  <si>
    <t>PG125</t>
  </si>
  <si>
    <t>Planta artificial</t>
  </si>
  <si>
    <t>PG127</t>
  </si>
  <si>
    <t>PG148</t>
  </si>
  <si>
    <t>PG149</t>
  </si>
  <si>
    <t>PG158</t>
  </si>
  <si>
    <t>reloj</t>
  </si>
  <si>
    <t>PG159</t>
  </si>
  <si>
    <t>PG162</t>
  </si>
  <si>
    <t>PG163</t>
  </si>
  <si>
    <t>PG170</t>
  </si>
  <si>
    <t>PG172</t>
  </si>
  <si>
    <t>PG173</t>
  </si>
  <si>
    <t>PG175</t>
  </si>
  <si>
    <t>Set de tazas</t>
  </si>
  <si>
    <t>PG176</t>
  </si>
  <si>
    <t>Juego de vajilla</t>
  </si>
  <si>
    <t>PG177</t>
  </si>
  <si>
    <t>PG178</t>
  </si>
  <si>
    <t>PG179</t>
  </si>
  <si>
    <t>PG193</t>
  </si>
  <si>
    <t>Fragancia3 aromas</t>
  </si>
  <si>
    <t>PG194</t>
  </si>
  <si>
    <t>PG195</t>
  </si>
  <si>
    <t>Fragancia4 aromas</t>
  </si>
  <si>
    <t>PG196</t>
  </si>
  <si>
    <t>PG197</t>
  </si>
  <si>
    <t>PG198</t>
  </si>
  <si>
    <t>Piedra aromática3 aromas</t>
  </si>
  <si>
    <t>PG204</t>
  </si>
  <si>
    <t>PG205</t>
  </si>
  <si>
    <t>DecoraciónMadera de pino</t>
  </si>
  <si>
    <t>PG205-1</t>
  </si>
  <si>
    <t>PG206</t>
  </si>
  <si>
    <t>PG208</t>
  </si>
  <si>
    <t>PG212</t>
  </si>
  <si>
    <t>PG214-1</t>
  </si>
  <si>
    <t>Soporte para platos negro</t>
  </si>
  <si>
    <t>PG214-2</t>
  </si>
  <si>
    <t>Soporte para platos blanco</t>
  </si>
  <si>
    <t>PG215-1</t>
  </si>
  <si>
    <t>Bandeja</t>
  </si>
  <si>
    <t>PG215-2</t>
  </si>
  <si>
    <t>PG216-1</t>
  </si>
  <si>
    <t>PG217-1</t>
  </si>
  <si>
    <t>PG218-1</t>
  </si>
  <si>
    <t>PG218-2</t>
  </si>
  <si>
    <t>PG218-3</t>
  </si>
  <si>
    <t>PG219-1</t>
  </si>
  <si>
    <t>PG219-2</t>
  </si>
  <si>
    <t>PG220</t>
  </si>
  <si>
    <t>PG221-1</t>
  </si>
  <si>
    <t>PG221-3</t>
  </si>
  <si>
    <t>PG223</t>
  </si>
  <si>
    <t>PG226</t>
  </si>
  <si>
    <t>PG228</t>
  </si>
  <si>
    <t>PG229-1</t>
  </si>
  <si>
    <t>PG230-1</t>
  </si>
  <si>
    <t>PG230-3</t>
  </si>
  <si>
    <t>PG232-1</t>
  </si>
  <si>
    <t>PG235</t>
  </si>
  <si>
    <t>PG236</t>
  </si>
  <si>
    <t>PG240-1</t>
  </si>
  <si>
    <t>Safacones</t>
  </si>
  <si>
    <t>PG248</t>
  </si>
  <si>
    <t>PG252</t>
  </si>
  <si>
    <t>PG256</t>
  </si>
  <si>
    <t>PG262</t>
  </si>
  <si>
    <t>jarrón</t>
  </si>
  <si>
    <t>PG263</t>
  </si>
  <si>
    <t>PG265</t>
  </si>
  <si>
    <t>PG269</t>
  </si>
  <si>
    <t>PG272</t>
  </si>
  <si>
    <t>PG307</t>
  </si>
  <si>
    <t>Lámpara nocturna</t>
  </si>
  <si>
    <t>PG309</t>
  </si>
  <si>
    <t>mini abanico</t>
  </si>
  <si>
    <t>KF979</t>
  </si>
  <si>
    <t>lámpara de mesa</t>
  </si>
  <si>
    <t>KF981</t>
  </si>
  <si>
    <t>KF983</t>
  </si>
  <si>
    <t>KF984</t>
  </si>
  <si>
    <t>KF989</t>
  </si>
  <si>
    <t>PG277</t>
  </si>
  <si>
    <t>Horno eléctrico decorativo</t>
  </si>
  <si>
    <t>PG278</t>
  </si>
  <si>
    <t>PG279</t>
  </si>
  <si>
    <t>PG588</t>
  </si>
  <si>
    <t>planta artificial</t>
  </si>
  <si>
    <t>PG589</t>
  </si>
  <si>
    <t>PG590</t>
  </si>
  <si>
    <t>PG591</t>
  </si>
  <si>
    <t>PG592</t>
  </si>
  <si>
    <t>PG593</t>
  </si>
  <si>
    <t>PG440</t>
  </si>
  <si>
    <t>espejo</t>
  </si>
  <si>
    <t>PG441</t>
  </si>
  <si>
    <t>PG446</t>
  </si>
  <si>
    <t>PG447</t>
  </si>
  <si>
    <t>PG448</t>
  </si>
  <si>
    <t>PG453</t>
  </si>
  <si>
    <t>PG454</t>
  </si>
  <si>
    <t>PG455</t>
  </si>
  <si>
    <t>PG458</t>
  </si>
  <si>
    <t>PG461</t>
  </si>
  <si>
    <t>PG472</t>
  </si>
  <si>
    <t>Juego de cestas</t>
  </si>
  <si>
    <t>PG474</t>
  </si>
  <si>
    <t>PG478</t>
  </si>
  <si>
    <t>PG483</t>
  </si>
  <si>
    <t>cesta de almacenamiento</t>
  </si>
  <si>
    <t>PG484</t>
  </si>
  <si>
    <t>PG485</t>
  </si>
  <si>
    <t>PG486</t>
  </si>
  <si>
    <t>PG487</t>
  </si>
  <si>
    <t>PG488</t>
  </si>
  <si>
    <t>PG491</t>
  </si>
  <si>
    <t>PG492</t>
  </si>
  <si>
    <t>PG494</t>
  </si>
  <si>
    <t>PG497</t>
  </si>
  <si>
    <t>PG500</t>
  </si>
  <si>
    <t>PG502</t>
  </si>
  <si>
    <t>PG503</t>
  </si>
  <si>
    <t>PG504</t>
  </si>
  <si>
    <t>PG506</t>
  </si>
  <si>
    <t>PG507</t>
  </si>
  <si>
    <t>PG594</t>
  </si>
  <si>
    <t>florero</t>
  </si>
  <si>
    <t>PG595</t>
  </si>
  <si>
    <t>PG596</t>
  </si>
  <si>
    <t>PG597</t>
  </si>
  <si>
    <t>PG598</t>
  </si>
  <si>
    <t>PG599</t>
  </si>
  <si>
    <t>PG600</t>
  </si>
  <si>
    <t>PG601</t>
  </si>
  <si>
    <t>PG602</t>
  </si>
  <si>
    <t>PG603</t>
  </si>
  <si>
    <t>PG605</t>
  </si>
  <si>
    <t>PG606</t>
  </si>
  <si>
    <t>PG607</t>
  </si>
  <si>
    <t>PG608</t>
  </si>
  <si>
    <t>PG609</t>
  </si>
  <si>
    <t>PG610</t>
  </si>
  <si>
    <t>PG613</t>
  </si>
  <si>
    <t>PG614</t>
  </si>
  <si>
    <t>PG615</t>
  </si>
  <si>
    <t>PG616</t>
  </si>
  <si>
    <t>PG617</t>
  </si>
  <si>
    <t>PG618</t>
  </si>
  <si>
    <t>PG619</t>
  </si>
  <si>
    <t>PG620</t>
  </si>
  <si>
    <t>PG621</t>
  </si>
  <si>
    <t>PG622</t>
  </si>
  <si>
    <t>PG623</t>
  </si>
  <si>
    <t>PG624</t>
  </si>
  <si>
    <t>PG626</t>
  </si>
  <si>
    <t>PG630</t>
  </si>
  <si>
    <t>PG631</t>
  </si>
  <si>
    <t>PG632</t>
  </si>
  <si>
    <t>PG633</t>
  </si>
  <si>
    <t>PG634</t>
  </si>
  <si>
    <t>PG635</t>
  </si>
  <si>
    <t>PG636</t>
  </si>
  <si>
    <t>PG637</t>
  </si>
  <si>
    <t>PG641</t>
  </si>
  <si>
    <t>PG642</t>
  </si>
  <si>
    <t>PG647</t>
  </si>
  <si>
    <t>PG648</t>
  </si>
  <si>
    <t>PG651</t>
  </si>
  <si>
    <t>PG702</t>
  </si>
  <si>
    <t>Juego de olla</t>
  </si>
  <si>
    <t>PG704</t>
  </si>
  <si>
    <t>PG706</t>
  </si>
  <si>
    <t>PG707</t>
  </si>
  <si>
    <t>PG708</t>
  </si>
  <si>
    <t>PG709</t>
  </si>
  <si>
    <t>Juego de ollas y sartenes</t>
  </si>
  <si>
    <t>PG710</t>
  </si>
  <si>
    <t>Juego de sartenes</t>
  </si>
  <si>
    <t>PG711</t>
  </si>
  <si>
    <t>PG712</t>
  </si>
  <si>
    <t>PG716</t>
  </si>
  <si>
    <t>Sartén</t>
  </si>
  <si>
    <t>PG718</t>
  </si>
  <si>
    <t>PG722</t>
  </si>
  <si>
    <t>parrilla</t>
  </si>
  <si>
    <t>PG723</t>
  </si>
  <si>
    <t>PG724</t>
  </si>
  <si>
    <t>PG725</t>
  </si>
  <si>
    <t>PG727-1</t>
  </si>
  <si>
    <t>Cuchara</t>
  </si>
  <si>
    <t>PG727-2</t>
  </si>
  <si>
    <t>Tenedor</t>
  </si>
  <si>
    <t>PG727-3</t>
  </si>
  <si>
    <t>Cuchillo</t>
  </si>
  <si>
    <t>PG727-4</t>
  </si>
  <si>
    <t>Cucharita</t>
  </si>
  <si>
    <t>PG731-1</t>
  </si>
  <si>
    <t>PG731-2</t>
  </si>
  <si>
    <t>PG731-3</t>
  </si>
  <si>
    <t>PG728-1N</t>
  </si>
  <si>
    <t>PG728-2N</t>
  </si>
  <si>
    <t>PG728-3N</t>
  </si>
  <si>
    <t>PG729-1N</t>
  </si>
  <si>
    <t>PG729-2N</t>
  </si>
  <si>
    <t>PG729-3N</t>
  </si>
  <si>
    <t>PG729-4N</t>
  </si>
  <si>
    <t>PG732-1</t>
  </si>
  <si>
    <t>PG732-2</t>
  </si>
  <si>
    <t>PG733-1</t>
  </si>
  <si>
    <t>PG733-2</t>
  </si>
  <si>
    <t>KF721</t>
  </si>
  <si>
    <t>KF708</t>
  </si>
  <si>
    <t>KF714</t>
  </si>
  <si>
    <t>KF718</t>
  </si>
  <si>
    <t>KF720</t>
  </si>
  <si>
    <t>KF1289</t>
  </si>
  <si>
    <t>KF1290</t>
  </si>
  <si>
    <t>KF1291</t>
  </si>
  <si>
    <t>tazón</t>
  </si>
  <si>
    <t>KF1293</t>
  </si>
  <si>
    <t>KF1294</t>
  </si>
  <si>
    <t>KF1295</t>
  </si>
  <si>
    <t>KF1296</t>
  </si>
  <si>
    <t>KF1297</t>
  </si>
  <si>
    <t>KF1299</t>
  </si>
  <si>
    <t>KF1300</t>
  </si>
  <si>
    <t>KF1301</t>
  </si>
  <si>
    <t>KF1302</t>
  </si>
  <si>
    <t>KF1303</t>
  </si>
  <si>
    <t>olla</t>
  </si>
  <si>
    <t>KF1304</t>
  </si>
  <si>
    <t>KF1305</t>
  </si>
  <si>
    <t>KF1307</t>
  </si>
  <si>
    <t>KF1308</t>
  </si>
  <si>
    <t>KF1309</t>
  </si>
  <si>
    <t>KF1312</t>
  </si>
  <si>
    <t>KF1321</t>
  </si>
  <si>
    <t>KF1324</t>
  </si>
  <si>
    <t>KF1325</t>
  </si>
  <si>
    <t>KF1327</t>
  </si>
  <si>
    <t>KF1329</t>
  </si>
  <si>
    <t>KF1331</t>
  </si>
  <si>
    <t>KF1333</t>
  </si>
  <si>
    <t>KF1335</t>
  </si>
  <si>
    <t>KF1336</t>
  </si>
  <si>
    <t>KF1337</t>
  </si>
  <si>
    <t>KF1339</t>
  </si>
  <si>
    <t>KF1340</t>
  </si>
  <si>
    <t>KF1341</t>
  </si>
  <si>
    <t>KF1344</t>
  </si>
  <si>
    <t>KF1346</t>
  </si>
  <si>
    <t>KF1347</t>
  </si>
  <si>
    <t>KF1348</t>
  </si>
  <si>
    <t>KF1350</t>
  </si>
  <si>
    <t>KF1351</t>
  </si>
  <si>
    <t>KF1354</t>
  </si>
  <si>
    <t>KF1356</t>
  </si>
  <si>
    <t>KF1357</t>
  </si>
  <si>
    <t>KF1359</t>
  </si>
  <si>
    <t>KF1362</t>
  </si>
  <si>
    <t>KF1363</t>
  </si>
  <si>
    <t>KF1364</t>
  </si>
  <si>
    <t>KF1365</t>
  </si>
  <si>
    <t>KF1367</t>
  </si>
  <si>
    <t>KF1369</t>
  </si>
  <si>
    <t>KF1370</t>
  </si>
  <si>
    <t>KF1371</t>
  </si>
  <si>
    <t>KF1372</t>
  </si>
  <si>
    <t>KF1374</t>
  </si>
  <si>
    <t>KF1378</t>
  </si>
  <si>
    <t>KF1379</t>
  </si>
  <si>
    <t>KF1383</t>
  </si>
  <si>
    <t>KF1384</t>
  </si>
  <si>
    <t>KF1385</t>
  </si>
  <si>
    <t>Plato</t>
  </si>
  <si>
    <t>KF1386</t>
  </si>
  <si>
    <t>KF1387</t>
  </si>
  <si>
    <t>KF1389</t>
  </si>
  <si>
    <t>KF1391</t>
  </si>
  <si>
    <t>KF1392</t>
  </si>
  <si>
    <t>KF1393</t>
  </si>
  <si>
    <t>KF1394</t>
  </si>
  <si>
    <t>KF1401</t>
  </si>
  <si>
    <t>KF1402</t>
  </si>
  <si>
    <t>KF1403</t>
  </si>
  <si>
    <t>KF1413</t>
  </si>
  <si>
    <t>KF1414</t>
  </si>
  <si>
    <t>KF1415</t>
  </si>
  <si>
    <t>KF1416</t>
  </si>
  <si>
    <t>KF1417</t>
  </si>
  <si>
    <t>KF1418</t>
  </si>
  <si>
    <t>KF1419</t>
  </si>
  <si>
    <t>KF709</t>
  </si>
  <si>
    <t>KF710</t>
  </si>
  <si>
    <t>KF711</t>
  </si>
  <si>
    <t>KF712</t>
  </si>
  <si>
    <t>KF713</t>
  </si>
  <si>
    <t>KF715</t>
  </si>
  <si>
    <t>KF717</t>
  </si>
  <si>
    <t>KF719</t>
  </si>
  <si>
    <t>KF678</t>
  </si>
  <si>
    <t>KF679</t>
  </si>
  <si>
    <t>KF680</t>
  </si>
  <si>
    <t>KF681</t>
  </si>
  <si>
    <t>KF682</t>
  </si>
  <si>
    <t>KF683</t>
  </si>
  <si>
    <t>KF684</t>
  </si>
  <si>
    <t>KF685</t>
  </si>
  <si>
    <t>KF686</t>
  </si>
  <si>
    <t>KF687</t>
  </si>
  <si>
    <t>KF688</t>
  </si>
  <si>
    <t>KF689</t>
  </si>
  <si>
    <t>KF690</t>
  </si>
  <si>
    <t>KF691</t>
  </si>
  <si>
    <t>KF692</t>
  </si>
  <si>
    <t>KF693</t>
  </si>
  <si>
    <t>KF694</t>
  </si>
  <si>
    <t>KF698</t>
  </si>
  <si>
    <t>KF699</t>
  </si>
  <si>
    <t>KF701</t>
  </si>
  <si>
    <t>KF702</t>
  </si>
  <si>
    <t>KF703</t>
  </si>
  <si>
    <t>KF704</t>
  </si>
  <si>
    <t>KF775</t>
  </si>
  <si>
    <t>Césped artificial</t>
  </si>
  <si>
    <t>KF777</t>
  </si>
  <si>
    <t>KF778</t>
  </si>
  <si>
    <t>KF780</t>
  </si>
  <si>
    <t>KF784</t>
  </si>
  <si>
    <t>KF786</t>
  </si>
  <si>
    <t>KF787</t>
  </si>
  <si>
    <t>KF788</t>
  </si>
  <si>
    <t>KF798</t>
  </si>
  <si>
    <t>KF799</t>
  </si>
  <si>
    <t>KF800</t>
  </si>
  <si>
    <t>KF806</t>
  </si>
  <si>
    <t>KF808</t>
  </si>
  <si>
    <t>KF809</t>
  </si>
  <si>
    <t>KF810</t>
  </si>
  <si>
    <t>KF811</t>
  </si>
  <si>
    <t>KF1192</t>
  </si>
  <si>
    <t>safacón</t>
  </si>
  <si>
    <t>KF1193</t>
  </si>
  <si>
    <t>KF1194</t>
  </si>
  <si>
    <t>KF1195</t>
  </si>
  <si>
    <t>KF1196</t>
  </si>
  <si>
    <t>KF1197</t>
  </si>
  <si>
    <t>KF1198</t>
  </si>
  <si>
    <t>KF1199</t>
  </si>
  <si>
    <t>KF1200</t>
  </si>
  <si>
    <t>KF1201</t>
  </si>
  <si>
    <t>Juego de baño</t>
  </si>
  <si>
    <t>KF1203</t>
  </si>
  <si>
    <t>KF1204</t>
  </si>
  <si>
    <t>KF1205</t>
  </si>
  <si>
    <t>KF1206</t>
  </si>
  <si>
    <t>Estante</t>
  </si>
  <si>
    <t>KF1207</t>
  </si>
  <si>
    <t>KF1208</t>
  </si>
  <si>
    <t>KF1209</t>
  </si>
  <si>
    <t>KF1210</t>
  </si>
  <si>
    <t>KF1216</t>
  </si>
  <si>
    <t>cesta de almacemiento</t>
  </si>
  <si>
    <t>KF0002</t>
  </si>
  <si>
    <t>3127 blowbel</t>
  </si>
  <si>
    <t>KF0148</t>
  </si>
  <si>
    <t>Panel LED publicitario</t>
  </si>
  <si>
    <t>KF514</t>
  </si>
  <si>
    <t>Botella</t>
  </si>
  <si>
    <t>KF519</t>
  </si>
  <si>
    <t>KF523</t>
  </si>
  <si>
    <t>KF0374</t>
  </si>
  <si>
    <t>Parrilla BBQ</t>
  </si>
  <si>
    <t>KF0375</t>
  </si>
  <si>
    <t>KF0377</t>
  </si>
  <si>
    <t>Set de barbacoa</t>
  </si>
  <si>
    <t>KF0380</t>
  </si>
  <si>
    <t>KF0381-1</t>
  </si>
  <si>
    <t>KF0381-2</t>
  </si>
  <si>
    <t>KF0384</t>
  </si>
  <si>
    <t>BBQ</t>
  </si>
  <si>
    <t>KF0391</t>
  </si>
  <si>
    <t>contenedores de cocina</t>
  </si>
  <si>
    <t>KF0392</t>
  </si>
  <si>
    <t>KF0393</t>
  </si>
  <si>
    <t>KF0394</t>
  </si>
  <si>
    <t>KF0396</t>
  </si>
  <si>
    <t>KF0397</t>
  </si>
  <si>
    <t>KF0398</t>
  </si>
  <si>
    <t>KF0399</t>
  </si>
  <si>
    <t>Organizadores de especie</t>
  </si>
  <si>
    <t>KF0400</t>
  </si>
  <si>
    <t>KF0401</t>
  </si>
  <si>
    <t>Botella para aceite</t>
  </si>
  <si>
    <t>KF0402</t>
  </si>
  <si>
    <t>KF0408</t>
  </si>
  <si>
    <t>Mini Abanico</t>
  </si>
  <si>
    <t>KF0409</t>
  </si>
  <si>
    <t>Contenedor de cocina</t>
  </si>
  <si>
    <t>KF0410</t>
  </si>
  <si>
    <t>KF746</t>
  </si>
  <si>
    <t>KF747</t>
  </si>
  <si>
    <t>KF748</t>
  </si>
  <si>
    <t>KF750</t>
  </si>
  <si>
    <t>KF751</t>
  </si>
  <si>
    <t>KF756</t>
  </si>
  <si>
    <t>KF757</t>
  </si>
  <si>
    <t>KF758</t>
  </si>
  <si>
    <t>KF760</t>
  </si>
  <si>
    <t>KF761</t>
  </si>
  <si>
    <t>KF762</t>
  </si>
  <si>
    <t>KF763</t>
  </si>
  <si>
    <t>KF764</t>
  </si>
  <si>
    <t>KF765</t>
  </si>
  <si>
    <t>KF766</t>
  </si>
  <si>
    <t>Safacón</t>
  </si>
  <si>
    <t>KF995</t>
  </si>
  <si>
    <t>Cojín</t>
  </si>
  <si>
    <t>KF996</t>
  </si>
  <si>
    <t>KF997</t>
  </si>
  <si>
    <t>KF1001</t>
  </si>
  <si>
    <t>KF1002</t>
  </si>
  <si>
    <t>KF1003</t>
  </si>
  <si>
    <t>KF1004</t>
  </si>
  <si>
    <t>KF1006</t>
  </si>
  <si>
    <t>KF1008</t>
  </si>
  <si>
    <t>KF1140</t>
  </si>
  <si>
    <t>Maceta grande</t>
  </si>
  <si>
    <t>KF1141</t>
  </si>
  <si>
    <t>KF1142</t>
  </si>
  <si>
    <t>KF1143</t>
  </si>
  <si>
    <t>KF1144</t>
  </si>
  <si>
    <t>KF1146</t>
  </si>
  <si>
    <t>KF1147</t>
  </si>
  <si>
    <t>KF1149</t>
  </si>
  <si>
    <t>KF1150</t>
  </si>
  <si>
    <t>KF1154</t>
  </si>
  <si>
    <t>KF1155</t>
  </si>
  <si>
    <t>KF1156</t>
  </si>
  <si>
    <t>KF1157</t>
  </si>
  <si>
    <t>KF1158</t>
  </si>
  <si>
    <t>KF1159</t>
  </si>
  <si>
    <t>KF1160</t>
  </si>
  <si>
    <t>KF1162</t>
  </si>
  <si>
    <t>KF1169</t>
  </si>
  <si>
    <t>KF1175</t>
  </si>
  <si>
    <t>KF1176</t>
  </si>
  <si>
    <t>KF1177</t>
  </si>
  <si>
    <t>KF1179</t>
  </si>
  <si>
    <t>KF1181</t>
  </si>
  <si>
    <t>KF1219</t>
  </si>
  <si>
    <t>Individual</t>
  </si>
  <si>
    <t>KF1220</t>
  </si>
  <si>
    <t>KF1222</t>
  </si>
  <si>
    <t>KF1223</t>
  </si>
  <si>
    <t>KF1224</t>
  </si>
  <si>
    <t>KF1225</t>
  </si>
  <si>
    <t>KF1226</t>
  </si>
  <si>
    <t>KF1227</t>
  </si>
  <si>
    <t>KF1228</t>
  </si>
  <si>
    <t>KF1229</t>
  </si>
  <si>
    <t>KF1230</t>
  </si>
  <si>
    <t>KF1231</t>
  </si>
  <si>
    <t>KF1233</t>
  </si>
  <si>
    <t>KF1234</t>
  </si>
  <si>
    <t>KF1235</t>
  </si>
  <si>
    <t>KF1236</t>
  </si>
  <si>
    <t>KF1237</t>
  </si>
  <si>
    <t>KF1238</t>
  </si>
  <si>
    <t>KF1239</t>
  </si>
  <si>
    <t>KF1240</t>
  </si>
  <si>
    <t>KF1241</t>
  </si>
  <si>
    <t>KF1242</t>
  </si>
  <si>
    <t>KF1243</t>
  </si>
  <si>
    <t>KF1244</t>
  </si>
  <si>
    <t>uego de jarra con 4 vaso</t>
  </si>
  <si>
    <t>KF1245</t>
  </si>
  <si>
    <t>KF1246</t>
  </si>
  <si>
    <t>KF1247</t>
  </si>
  <si>
    <t>KF1248</t>
  </si>
  <si>
    <t>KF1249</t>
  </si>
  <si>
    <t>KF1252</t>
  </si>
  <si>
    <t>KF1253</t>
  </si>
  <si>
    <t>KF1254</t>
  </si>
  <si>
    <t>KF1255</t>
  </si>
  <si>
    <t>KF1256</t>
  </si>
  <si>
    <t>KF1257</t>
  </si>
  <si>
    <t>Juego de jarra con vasos</t>
  </si>
  <si>
    <t>KF1259</t>
  </si>
  <si>
    <t>KF1260</t>
  </si>
  <si>
    <t>KF1261</t>
  </si>
  <si>
    <t>KF1262</t>
  </si>
  <si>
    <t>KF1263</t>
  </si>
  <si>
    <t>Tazón</t>
  </si>
  <si>
    <t>KF1264</t>
  </si>
  <si>
    <t>KF1265</t>
  </si>
  <si>
    <t>KF1273</t>
  </si>
  <si>
    <t>Tazón Estampado</t>
  </si>
  <si>
    <t>KF1274</t>
  </si>
  <si>
    <t>KF1275</t>
  </si>
  <si>
    <t>KF1276</t>
  </si>
  <si>
    <t>KF1277</t>
  </si>
  <si>
    <t>KF1278</t>
  </si>
  <si>
    <t>Platillo</t>
  </si>
  <si>
    <t>KF1279</t>
  </si>
  <si>
    <t>KF1281</t>
  </si>
  <si>
    <t>KF1282</t>
  </si>
  <si>
    <t>KF1284</t>
  </si>
  <si>
    <t>KF1285</t>
  </si>
  <si>
    <t>KF1286</t>
  </si>
  <si>
    <t>KF1287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</si>
</sst>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;\–"/>
    <numFmt numFmtId="165" formatCode="#,##0;[Red]\(#,##0\);\–"/>
  </numFmts>
  <fonts count="8">
    <font>
      <sz val="11"/>
      <name val="Carlito"/>
    </font>
    <font>
      <sz val="10"/>
      <color rgb="FF1C2933"/>
      <name val="Arial"/>
      <family val="2"/>
    </font>
    <font>
      <b/>
      <sz val="16"/>
      <color rgb="FF1C2933"/>
      <name val="Arial"/>
      <family val="2"/>
    </font>
    <font>
      <b/>
      <sz val="10"/>
      <color rgb="FFFFFFFF"/>
      <name val="Arial"/>
      <family val="2"/>
    </font>
    <font>
      <b/>
      <sz val="12"/>
      <color rgb="FF17324F"/>
      <name val="Arial"/>
      <family val="2"/>
    </font>
    <font>
      <b/>
      <sz val="15"/>
      <color rgb="FF1C2933"/>
      <name val="Arial"/>
      <family val="2"/>
    </font>
    <font>
      <b/>
      <sz val="10"/>
      <color rgb="FF17324F"/>
      <name val="Arial"/>
      <family val="2"/>
    </font>
    <font>
      <b/>
      <sz val="11"/>
      <color rgb="FF17324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24F"/>
      </patternFill>
    </fill>
    <fill>
      <patternFill patternType="solid">
        <fgColor rgb="FFEAF2F8"/>
      </patternFill>
    </fill>
    <fill>
      <patternFill patternType="solid">
        <fgColor rgb="FFFFF0C2"/>
      </patternFill>
    </fill>
    <fill>
      <patternFill patternType="solid">
        <fgColor rgb="FFFFF7DD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34D7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164" fontId="1" fillId="0" borderId="0" xfId="0" applyNumberFormat="1" applyFont="1"/>
    <xf numFmtId="164" fontId="4" fillId="3" borderId="0" xfId="0" applyNumberFormat="1" applyFont="1" applyFill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1" fillId="4" borderId="0" xfId="0" applyFont="1" applyFill="1"/>
    <xf numFmtId="164" fontId="1" fillId="4" borderId="0" xfId="0" applyNumberFormat="1" applyFont="1" applyFill="1"/>
    <xf numFmtId="0" fontId="6" fillId="3" borderId="0" xfId="0" applyFont="1" applyFill="1"/>
    <xf numFmtId="0" fontId="1" fillId="5" borderId="0" xfId="0" applyFont="1" applyFill="1"/>
    <xf numFmtId="14" fontId="1" fillId="5" borderId="0" xfId="0" applyNumberFormat="1" applyFont="1" applyFill="1"/>
    <xf numFmtId="164" fontId="1" fillId="5" borderId="0" xfId="0" applyNumberFormat="1" applyFont="1" applyFill="1"/>
    <xf numFmtId="164" fontId="6" fillId="3" borderId="0" xfId="0" applyNumberFormat="1" applyFont="1" applyFill="1"/>
    <xf numFmtId="165" fontId="1" fillId="0" borderId="0" xfId="0" applyNumberFormat="1" applyFont="1"/>
    <xf numFmtId="165" fontId="6" fillId="3" borderId="0" xfId="0" applyNumberFormat="1" applyFont="1" applyFill="1"/>
    <xf numFmtId="0" fontId="0" fillId="4" borderId="0" xfId="0" applyFill="1"/>
    <xf numFmtId="164" fontId="0" fillId="4" borderId="0" xfId="0" applyNumberFormat="1" applyFill="1"/>
    <xf numFmtId="0" fontId="7" fillId="3" borderId="0" xfId="0" applyFont="1" applyFill="1"/>
    <xf numFmtId="164" fontId="7" fillId="3" borderId="0" xfId="0" applyNumberFormat="1" applyFont="1" applyFill="1"/>
    <xf numFmtId="0" fontId="1" fillId="6" borderId="0" xfId="0" applyFont="1" applyFill="1"/>
    <xf numFmtId="0" fontId="0" fillId="6" borderId="0" xfId="0" applyFill="1"/>
    <xf numFmtId="165" fontId="1" fillId="6" borderId="0" xfId="0" applyNumberFormat="1" applyFont="1" applyFill="1"/>
    <xf numFmtId="165" fontId="0" fillId="6" borderId="0" xfId="0" applyNumberFormat="1" applyFill="1"/>
    <xf numFmtId="164" fontId="1" fillId="6" borderId="0" xfId="0" applyNumberFormat="1" applyFont="1" applyFill="1"/>
    <xf numFmtId="164" fontId="0" fillId="6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2"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F"/>
  </sheetPr>
  <dimension ref="A1:T43"/>
  <sheetViews>
    <sheetView showGridLines="0" topLeftCell="A7" workbookViewId="0"/>
  </sheetViews>
  <sheetFormatPr defaultRowHeight="13.8"/>
  <cols>
    <col min="2" max="2" width="36" customWidth="1"/>
    <col min="3" max="4" width="9" customWidth="1"/>
    <col min="5" max="7" width="21" customWidth="1"/>
    <col min="8" max="8" width="24" customWidth="1"/>
    <col min="9" max="13" width="10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4" customHeight="1">
      <c r="A5" s="1"/>
      <c r="B5" s="1" t="s">
        <v>1</v>
      </c>
      <c r="C5" s="1"/>
      <c r="D5" s="1"/>
      <c r="E5" s="1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4" customHeight="1">
      <c r="A6" s="1"/>
      <c r="B6" s="1" t="s">
        <v>3</v>
      </c>
      <c r="C6" s="1"/>
      <c r="D6" s="1"/>
      <c r="E6" s="1" t="s">
        <v>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4" customHeight="1">
      <c r="A7" s="1"/>
      <c r="B7" s="1" t="s">
        <v>5</v>
      </c>
      <c r="C7" s="1"/>
      <c r="D7" s="1"/>
      <c r="E7" s="1" t="s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4" customHeight="1">
      <c r="A8" s="1"/>
      <c r="B8" s="1" t="s">
        <v>7</v>
      </c>
      <c r="C8" s="1"/>
      <c r="D8" s="1"/>
      <c r="E8" s="1" t="s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4" customHeight="1">
      <c r="A9" s="1"/>
      <c r="B9" s="1" t="s">
        <v>9</v>
      </c>
      <c r="C9" s="1"/>
      <c r="D9" s="1"/>
      <c r="E9" s="1" t="str">
        <f>IF('Facturas y gastos'!B5="","",'Facturas y gastos'!B5)</f>
        <v/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4" customHeight="1">
      <c r="A10" s="1"/>
      <c r="B10" s="1" t="s">
        <v>10</v>
      </c>
      <c r="C10" s="1"/>
      <c r="D10" s="1"/>
      <c r="E10" s="1" t="str">
        <f>IF('Facturas y gastos'!B5="","PENDIENTE TASA USD/RD$",IF('Facturas y gastos'!B24="","PENDIENTE ARANCEL DUA",IF('Facturas y gastos'!B45&lt;&gt;"OK",'Facturas y gastos'!B45,IF(OR('Facturas y gastos'!P10="REVISAR",'Facturas y gastos'!P11="REVISAR",'Facturas y gastos'!P12="REVISAR",'Facturas y gastos'!P13="REVISAR"),"REVISAR DIFERENCIAS PDF","LISTA PARA REVISIÓN"))))</f>
        <v>PENDIENTE TASA USD/RD$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8.95" customHeight="1">
      <c r="A12" s="1"/>
      <c r="B12" s="4" t="s">
        <v>11</v>
      </c>
      <c r="C12" s="4"/>
      <c r="D12" s="4"/>
      <c r="E12" s="4"/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 t="s">
        <v>12</v>
      </c>
      <c r="C14" s="1"/>
      <c r="D14" s="1"/>
      <c r="E14" s="1"/>
      <c r="F14" s="1"/>
      <c r="G14" s="1"/>
      <c r="H14" s="6">
        <f>SUM('Facturas y gastos'!D10:D13)</f>
        <v>169772.96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 t="s">
        <v>13</v>
      </c>
      <c r="C15" s="1"/>
      <c r="D15" s="1"/>
      <c r="E15" s="1"/>
      <c r="F15" s="1"/>
      <c r="G15" s="1"/>
      <c r="H15" s="6">
        <f>SUM('Facturas y gastos'!G10:G13)</f>
        <v>1697.73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 t="s">
        <v>14</v>
      </c>
      <c r="C16" s="1"/>
      <c r="D16" s="1"/>
      <c r="E16" s="1"/>
      <c r="F16" s="1"/>
      <c r="G16" s="1"/>
      <c r="H16" s="6">
        <f>SUM('Facturas y gastos'!H10:H13)</f>
        <v>5093.18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 t="s">
        <v>15</v>
      </c>
      <c r="C17" s="1"/>
      <c r="D17" s="1"/>
      <c r="E17" s="1"/>
      <c r="F17" s="1"/>
      <c r="G17" s="1"/>
      <c r="H17" s="6">
        <f>SUM('Facturas y gastos'!I10:I13)</f>
        <v>31600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 t="s">
        <v>16</v>
      </c>
      <c r="C18" s="1"/>
      <c r="D18" s="1"/>
      <c r="E18" s="1"/>
      <c r="F18" s="1"/>
      <c r="G18" s="1"/>
      <c r="H18" s="6">
        <f>SUM('Facturas y gastos'!J10:J13)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 t="s">
        <v>17</v>
      </c>
      <c r="C19" s="1"/>
      <c r="D19" s="1"/>
      <c r="E19" s="1"/>
      <c r="F19" s="1"/>
      <c r="G19" s="1"/>
      <c r="H19" s="6">
        <f>H14-H15+H16+H17+H18</f>
        <v>204768.40999999997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 t="s">
        <v>18</v>
      </c>
      <c r="C21" s="1"/>
      <c r="D21" s="1"/>
      <c r="E21" s="1"/>
      <c r="F21" s="1"/>
      <c r="G21" s="1"/>
      <c r="H21" s="6" t="str">
        <f>IF('Facturas y gastos'!B5="","",H19*'Facturas y gastos'!B5)</f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 t="s">
        <v>19</v>
      </c>
      <c r="C22" s="1"/>
      <c r="D22" s="1"/>
      <c r="E22" s="1"/>
      <c r="F22" s="1"/>
      <c r="G22" s="1"/>
      <c r="H22" s="6" t="str">
        <f>IF('Facturas y gastos'!B24="","",'Facturas y gastos'!B43)</f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8.95" customHeight="1">
      <c r="A23" s="1"/>
      <c r="B23" s="5" t="s">
        <v>20</v>
      </c>
      <c r="C23" s="5"/>
      <c r="D23" s="5"/>
      <c r="E23" s="5"/>
      <c r="F23" s="5"/>
      <c r="G23" s="5"/>
      <c r="H23" s="7" t="str">
        <f>IF(OR(H21="",H22="",'Facturas y gastos'!B45&lt;&gt;"OK"),"",H21+H22)</f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 t="s">
        <v>21</v>
      </c>
      <c r="C24" s="1"/>
      <c r="D24" s="1"/>
      <c r="E24" s="1"/>
      <c r="F24" s="1"/>
      <c r="G24" s="1"/>
      <c r="H24" s="6" t="str">
        <f>IF(OR(H23="",SUM('Facturas y gastos'!O10:O13)=0),"",H23/SUM('Facturas y gastos'!O10:O13))</f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B26" t="s">
        <v>22</v>
      </c>
      <c r="H26" s="8" t="str">
        <f>IF('Facturas y gastos'!B39="","",'Facturas y gastos'!B39)</f>
        <v/>
      </c>
    </row>
    <row r="27" spans="1:20">
      <c r="B27" t="s">
        <v>23</v>
      </c>
      <c r="H27" s="8" t="str">
        <f>IF('Facturas y gastos'!B40="","",'Facturas y gastos'!B40)</f>
        <v/>
      </c>
    </row>
    <row r="30" spans="1:20" ht="28.95" customHeight="1">
      <c r="B30" s="4" t="s">
        <v>24</v>
      </c>
      <c r="C30" s="4"/>
      <c r="D30" s="4"/>
      <c r="E30" s="4"/>
      <c r="F30" s="4"/>
      <c r="G30" s="4"/>
      <c r="H30" s="4"/>
    </row>
    <row r="32" spans="1:20">
      <c r="B32" t="s">
        <v>25</v>
      </c>
      <c r="H32" s="9">
        <f>COUNTA('Facturas y gastos'!A10:A13)</f>
        <v>4</v>
      </c>
    </row>
    <row r="33" spans="2:8">
      <c r="B33" t="s">
        <v>26</v>
      </c>
      <c r="H33" s="9">
        <f>COUNTA(Mercancias!C8:C657)</f>
        <v>506</v>
      </c>
    </row>
    <row r="34" spans="2:8">
      <c r="B34" t="s">
        <v>27</v>
      </c>
      <c r="H34" s="9">
        <f>SUM('Facturas y gastos'!O10:O13)</f>
        <v>123552</v>
      </c>
    </row>
    <row r="35" spans="2:8">
      <c r="B35" t="s">
        <v>28</v>
      </c>
      <c r="H35" s="9">
        <f>SUM('Facturas y gastos'!N10:N13)</f>
        <v>2880</v>
      </c>
    </row>
    <row r="36" spans="2:8">
      <c r="B36" t="s">
        <v>29</v>
      </c>
      <c r="H36" s="8">
        <f>SUM('Facturas y gastos'!F10:F13)</f>
        <v>8.0000000009022187E-2</v>
      </c>
    </row>
    <row r="37" spans="2:8">
      <c r="B37" t="s">
        <v>30</v>
      </c>
      <c r="H37" s="8">
        <f>SUM('Facturas y gastos'!M10:M13)</f>
        <v>-9.9999999947613105E-3</v>
      </c>
    </row>
    <row r="39" spans="2:8" ht="24" customHeight="1">
      <c r="B39" t="s">
        <v>31</v>
      </c>
      <c r="E39" t="s">
        <v>32</v>
      </c>
    </row>
    <row r="40" spans="2:8" ht="24" customHeight="1">
      <c r="E40" t="s">
        <v>33</v>
      </c>
    </row>
    <row r="41" spans="2:8" ht="24" customHeight="1">
      <c r="E41" t="s">
        <v>34</v>
      </c>
    </row>
    <row r="42" spans="2:8">
      <c r="B42" t="s">
        <v>35</v>
      </c>
      <c r="H42" s="8">
        <f>ROUND(SUM(Mercancias!O8:O657)-H19,2)</f>
        <v>0</v>
      </c>
    </row>
    <row r="43" spans="2:8">
      <c r="B43" t="s">
        <v>36</v>
      </c>
      <c r="H43" s="8" t="str">
        <f>IF(H23="","",ROUND(SUM(Mercancias!Q8:Q657)-H23,2))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7795"/>
  </sheetPr>
  <dimension ref="A1:T50"/>
  <sheetViews>
    <sheetView showGridLines="0" workbookViewId="0">
      <pane ySplit="9" topLeftCell="A18" activePane="bottomLeft" state="frozen"/>
      <selection pane="bottomLeft" activeCell="C25" sqref="C25"/>
    </sheetView>
  </sheetViews>
  <sheetFormatPr defaultRowHeight="13.8"/>
  <cols>
    <col min="1" max="1" width="34" customWidth="1"/>
    <col min="2" max="2" width="18" customWidth="1"/>
    <col min="3" max="3" width="23" customWidth="1"/>
    <col min="4" max="4" width="22" customWidth="1"/>
    <col min="5" max="15" width="18" customWidth="1"/>
    <col min="16" max="16" width="17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2">
      <c r="A2" s="10" t="s">
        <v>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 t="s">
        <v>38</v>
      </c>
      <c r="B4" s="1" t="s">
        <v>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 t="s">
        <v>9</v>
      </c>
      <c r="B5" s="12"/>
      <c r="C5" s="1"/>
      <c r="D5" s="1" t="s">
        <v>40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 t="s">
        <v>41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8.95" customHeight="1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1"/>
      <c r="R9" s="1"/>
      <c r="S9" s="1"/>
      <c r="T9" s="1"/>
    </row>
    <row r="10" spans="1:20">
      <c r="A10" s="14" t="s">
        <v>58</v>
      </c>
      <c r="B10" s="15">
        <v>46231</v>
      </c>
      <c r="C10" s="14" t="s">
        <v>59</v>
      </c>
      <c r="D10" s="16">
        <v>45174.76</v>
      </c>
      <c r="E10" s="6">
        <f>SUMIFS(Mercancias!$I$8:$I$657,Mercancias!$A$8:$A$657,A10)</f>
        <v>45174.760000000009</v>
      </c>
      <c r="F10" s="6">
        <f>E10-D10</f>
        <v>0</v>
      </c>
      <c r="G10" s="16">
        <v>451.75</v>
      </c>
      <c r="H10" s="16">
        <v>1355.24</v>
      </c>
      <c r="I10" s="16">
        <v>7900</v>
      </c>
      <c r="J10" s="12"/>
      <c r="K10" s="6">
        <f>D10-G10+H10+I10+J10</f>
        <v>53978.25</v>
      </c>
      <c r="L10" s="16">
        <v>53978.26</v>
      </c>
      <c r="M10" s="6">
        <f>K10-L10</f>
        <v>-1.0000000002037268E-2</v>
      </c>
      <c r="N10" s="18">
        <v>614</v>
      </c>
      <c r="O10" s="18">
        <v>24114</v>
      </c>
      <c r="P10" s="1" t="str">
        <f>IF(OR(ABS(F10)&gt;0.015,ABS(M10)&gt;0.015),"REVISAR","OK")</f>
        <v>OK</v>
      </c>
      <c r="Q10" s="1"/>
      <c r="R10" s="1"/>
      <c r="S10" s="1"/>
      <c r="T10" s="1"/>
    </row>
    <row r="11" spans="1:20">
      <c r="A11" s="14" t="s">
        <v>60</v>
      </c>
      <c r="B11" s="15">
        <v>46231</v>
      </c>
      <c r="C11" s="14" t="s">
        <v>59</v>
      </c>
      <c r="D11" s="16">
        <v>39046.730000000003</v>
      </c>
      <c r="E11" s="6">
        <f>SUMIFS(Mercancias!$I$8:$I$657,Mercancias!$A$8:$A$657,A11)</f>
        <v>39046.810000000012</v>
      </c>
      <c r="F11" s="6">
        <f>E11-D11</f>
        <v>8.0000000009022187E-2</v>
      </c>
      <c r="G11" s="16">
        <v>390.47</v>
      </c>
      <c r="H11" s="16">
        <v>1171.4000000000001</v>
      </c>
      <c r="I11" s="16">
        <v>7900</v>
      </c>
      <c r="J11" s="12"/>
      <c r="K11" s="6">
        <f>D11-G11+H11+I11+J11</f>
        <v>47727.66</v>
      </c>
      <c r="L11" s="16">
        <v>47727.67</v>
      </c>
      <c r="M11" s="6">
        <f>K11-L11</f>
        <v>-9.9999999947613105E-3</v>
      </c>
      <c r="N11" s="18">
        <v>922</v>
      </c>
      <c r="O11" s="18">
        <v>40682</v>
      </c>
      <c r="P11" s="1" t="str">
        <f>IF(OR(ABS(F11)&gt;0.015,ABS(M11)&gt;0.015),"REVISAR","OK")</f>
        <v>REVISAR</v>
      </c>
      <c r="Q11" s="1"/>
      <c r="R11" s="1"/>
      <c r="S11" s="1"/>
      <c r="T11" s="1"/>
    </row>
    <row r="12" spans="1:20">
      <c r="A12" s="14" t="s">
        <v>61</v>
      </c>
      <c r="B12" s="15">
        <v>46231</v>
      </c>
      <c r="C12" s="14" t="s">
        <v>59</v>
      </c>
      <c r="D12" s="16">
        <v>39784.339999999997</v>
      </c>
      <c r="E12" s="6">
        <f>SUMIFS(Mercancias!$I$8:$I$657,Mercancias!$A$8:$A$657,A12)</f>
        <v>39784.349999999991</v>
      </c>
      <c r="F12" s="6">
        <f>E12-D12</f>
        <v>9.9999999947613105E-3</v>
      </c>
      <c r="G12" s="16">
        <v>397.84</v>
      </c>
      <c r="H12" s="16">
        <v>1193.53</v>
      </c>
      <c r="I12" s="16">
        <v>7900</v>
      </c>
      <c r="J12" s="12"/>
      <c r="K12" s="6">
        <f>D12-G12+H12+I12+J12</f>
        <v>48480.03</v>
      </c>
      <c r="L12" s="16">
        <v>48480.02</v>
      </c>
      <c r="M12" s="6">
        <f>K12-L12</f>
        <v>1.0000000002037268E-2</v>
      </c>
      <c r="N12" s="18">
        <v>823</v>
      </c>
      <c r="O12" s="18">
        <v>30780</v>
      </c>
      <c r="P12" s="1" t="str">
        <f>IF(OR(ABS(F12)&gt;0.015,ABS(M12)&gt;0.015),"REVISAR","OK")</f>
        <v>OK</v>
      </c>
      <c r="Q12" s="1"/>
      <c r="R12" s="1"/>
      <c r="S12" s="1"/>
      <c r="T12" s="1"/>
    </row>
    <row r="13" spans="1:20">
      <c r="A13" s="14" t="s">
        <v>62</v>
      </c>
      <c r="B13" s="15">
        <v>46231</v>
      </c>
      <c r="C13" s="14" t="s">
        <v>59</v>
      </c>
      <c r="D13" s="16">
        <v>45767.13</v>
      </c>
      <c r="E13" s="6">
        <f>SUMIFS(Mercancias!$I$8:$I$657,Mercancias!$A$8:$A$657,A13)</f>
        <v>45767.12</v>
      </c>
      <c r="F13" s="6">
        <f>E13-D13</f>
        <v>-9.9999999947613105E-3</v>
      </c>
      <c r="G13" s="16">
        <v>457.67</v>
      </c>
      <c r="H13" s="16">
        <v>1373.01</v>
      </c>
      <c r="I13" s="16">
        <v>7900</v>
      </c>
      <c r="J13" s="12"/>
      <c r="K13" s="6">
        <f>D13-G13+H13+I13+J13</f>
        <v>54582.47</v>
      </c>
      <c r="L13" s="16">
        <v>54582.47</v>
      </c>
      <c r="M13" s="6">
        <f>K13-L13</f>
        <v>0</v>
      </c>
      <c r="N13" s="18">
        <v>521</v>
      </c>
      <c r="O13" s="18">
        <v>27976</v>
      </c>
      <c r="P13" s="1" t="str">
        <f>IF(OR(ABS(F13)&gt;0.015,ABS(M13)&gt;0.015),"REVISAR","OK")</f>
        <v>OK</v>
      </c>
      <c r="Q13" s="1"/>
      <c r="R13" s="1"/>
      <c r="S13" s="1"/>
      <c r="T13" s="1"/>
    </row>
    <row r="14" spans="1:20">
      <c r="A14" s="1"/>
      <c r="B14" s="1"/>
      <c r="C14" s="1"/>
      <c r="D14" s="6"/>
      <c r="E14" s="6"/>
      <c r="F14" s="6"/>
      <c r="G14" s="6"/>
      <c r="H14" s="6"/>
      <c r="I14" s="6"/>
      <c r="J14" s="6"/>
      <c r="K14" s="6"/>
      <c r="L14" s="6"/>
      <c r="M14" s="6"/>
      <c r="N14" s="18"/>
      <c r="O14" s="18"/>
      <c r="P14" s="1"/>
      <c r="Q14" s="1"/>
      <c r="R14" s="1"/>
      <c r="S14" s="1"/>
      <c r="T14" s="1"/>
    </row>
    <row r="15" spans="1:20" ht="25.05" customHeight="1">
      <c r="A15" s="13" t="s">
        <v>63</v>
      </c>
      <c r="B15" s="13"/>
      <c r="C15" s="13"/>
      <c r="D15" s="17">
        <f t="shared" ref="D15:O15" si="0">SUM(D10:D13)</f>
        <v>169772.96</v>
      </c>
      <c r="E15" s="17">
        <f t="shared" si="0"/>
        <v>169773.04</v>
      </c>
      <c r="F15" s="17">
        <f t="shared" si="0"/>
        <v>8.0000000009022187E-2</v>
      </c>
      <c r="G15" s="17">
        <f t="shared" si="0"/>
        <v>1697.73</v>
      </c>
      <c r="H15" s="17">
        <f t="shared" si="0"/>
        <v>5093.18</v>
      </c>
      <c r="I15" s="17">
        <f t="shared" si="0"/>
        <v>31600</v>
      </c>
      <c r="J15" s="17">
        <f t="shared" si="0"/>
        <v>0</v>
      </c>
      <c r="K15" s="17">
        <f t="shared" si="0"/>
        <v>204768.41</v>
      </c>
      <c r="L15" s="17">
        <f t="shared" si="0"/>
        <v>204768.41999999998</v>
      </c>
      <c r="M15" s="17">
        <f t="shared" si="0"/>
        <v>-9.9999999947613105E-3</v>
      </c>
      <c r="N15" s="19">
        <f t="shared" si="0"/>
        <v>2880</v>
      </c>
      <c r="O15" s="19">
        <f t="shared" si="0"/>
        <v>123552</v>
      </c>
      <c r="P15" s="13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 t="s">
        <v>64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 t="s">
        <v>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8.95" customHeight="1">
      <c r="A21" s="4" t="s">
        <v>66</v>
      </c>
      <c r="B21" s="4"/>
      <c r="C21" s="4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8.95" customHeight="1">
      <c r="A22" s="4" t="s">
        <v>67</v>
      </c>
      <c r="B22" s="4" t="s">
        <v>68</v>
      </c>
      <c r="C22" s="4" t="s">
        <v>69</v>
      </c>
      <c r="D22" s="4" t="s">
        <v>70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 t="s">
        <v>71</v>
      </c>
      <c r="B24" s="12"/>
      <c r="C24" s="11"/>
      <c r="D24" s="1" t="s">
        <v>72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 t="s">
        <v>73</v>
      </c>
      <c r="B25" s="12"/>
      <c r="C25" s="11"/>
      <c r="D25" s="1" t="s">
        <v>72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t="s">
        <v>74</v>
      </c>
      <c r="B26" s="21"/>
      <c r="C26" s="20"/>
      <c r="D26" t="s">
        <v>72</v>
      </c>
    </row>
    <row r="27" spans="1:20">
      <c r="A27" t="s">
        <v>75</v>
      </c>
      <c r="B27" s="21"/>
      <c r="C27" s="20"/>
      <c r="D27" t="s">
        <v>72</v>
      </c>
    </row>
    <row r="28" spans="1:20">
      <c r="A28" t="s">
        <v>76</v>
      </c>
      <c r="B28" s="21"/>
      <c r="C28" s="20"/>
      <c r="D28" t="s">
        <v>72</v>
      </c>
    </row>
    <row r="29" spans="1:20">
      <c r="A29" t="s">
        <v>77</v>
      </c>
      <c r="B29" s="21"/>
      <c r="C29" s="20"/>
      <c r="D29" t="s">
        <v>72</v>
      </c>
    </row>
    <row r="30" spans="1:20">
      <c r="A30" t="s">
        <v>78</v>
      </c>
      <c r="B30" s="21"/>
      <c r="C30" s="20"/>
      <c r="D30" t="s">
        <v>72</v>
      </c>
    </row>
    <row r="31" spans="1:20">
      <c r="A31" t="s">
        <v>79</v>
      </c>
      <c r="B31" s="21"/>
      <c r="C31" s="20"/>
      <c r="D31" t="s">
        <v>72</v>
      </c>
    </row>
    <row r="32" spans="1:20">
      <c r="A32" t="s">
        <v>80</v>
      </c>
      <c r="B32" s="21"/>
      <c r="C32" s="20"/>
      <c r="D32" t="s">
        <v>72</v>
      </c>
    </row>
    <row r="33" spans="1:4">
      <c r="B33" s="8"/>
    </row>
    <row r="34" spans="1:4">
      <c r="A34" t="s">
        <v>81</v>
      </c>
      <c r="B34" s="8">
        <f>SUM(B24:B32)</f>
        <v>0</v>
      </c>
    </row>
    <row r="35" spans="1:4">
      <c r="B35" s="8"/>
    </row>
    <row r="36" spans="1:4">
      <c r="B36" s="8"/>
    </row>
    <row r="37" spans="1:4">
      <c r="B37" s="8"/>
    </row>
    <row r="38" spans="1:4">
      <c r="B38" s="8"/>
    </row>
    <row r="39" spans="1:4">
      <c r="A39" t="s">
        <v>82</v>
      </c>
      <c r="B39" s="21"/>
      <c r="C39" s="20"/>
    </row>
    <row r="40" spans="1:4">
      <c r="A40" t="s">
        <v>83</v>
      </c>
      <c r="B40" s="21"/>
      <c r="C40" s="20"/>
    </row>
    <row r="41" spans="1:4">
      <c r="A41" t="s">
        <v>84</v>
      </c>
      <c r="B41" s="8" t="str">
        <f>IF(AND(B39="",B40=""),"",MAX(0,N(B39)-N(B40)))</f>
        <v/>
      </c>
    </row>
    <row r="42" spans="1:4">
      <c r="B42" s="8"/>
    </row>
    <row r="43" spans="1:4" ht="25.95" customHeight="1">
      <c r="A43" s="22" t="s">
        <v>85</v>
      </c>
      <c r="B43" s="23">
        <f>B34+N(B41)</f>
        <v>0</v>
      </c>
      <c r="C43" s="22"/>
      <c r="D43" s="22"/>
    </row>
    <row r="45" spans="1:4">
      <c r="A45" t="s">
        <v>86</v>
      </c>
      <c r="B45" t="str">
        <f>IF(OR(B39="",B40=""),"PENDIENTE ITBIS",IF(B40&gt;B39,"REVISAR RECUPERABLE","OK"))</f>
        <v>PENDIENTE ITBIS</v>
      </c>
    </row>
    <row r="47" spans="1:4">
      <c r="A47" t="s">
        <v>87</v>
      </c>
    </row>
    <row r="48" spans="1:4">
      <c r="A48" t="s">
        <v>88</v>
      </c>
    </row>
    <row r="49" spans="1:1">
      <c r="A49" t="s">
        <v>89</v>
      </c>
    </row>
    <row r="50" spans="1:1">
      <c r="A50" t="s">
        <v>90</v>
      </c>
    </row>
  </sheetData>
  <conditionalFormatting sqref="F10:F13">
    <cfRule type="cellIs" dxfId="1" priority="1" operator="greaterThan">
      <formula>0.015</formula>
    </cfRule>
  </conditionalFormatting>
  <conditionalFormatting sqref="M10:M13">
    <cfRule type="cellIs" dxfId="0" priority="2" operator="greaterThan">
      <formula>0.015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B6C5"/>
  </sheetPr>
  <dimension ref="A1:T657"/>
  <sheetViews>
    <sheetView showGridLines="0" tabSelected="1" topLeftCell="I1" workbookViewId="0">
      <pane ySplit="7" topLeftCell="A8" activePane="bottomLeft" state="frozen"/>
      <selection pane="bottomLeft" activeCell="R13" sqref="R13"/>
    </sheetView>
  </sheetViews>
  <sheetFormatPr defaultRowHeight="13.8"/>
  <cols>
    <col min="1" max="1" width="21" customWidth="1"/>
    <col min="2" max="2" width="9" customWidth="1"/>
    <col min="3" max="3" width="17" customWidth="1"/>
    <col min="4" max="4" width="34" customWidth="1"/>
    <col min="5" max="7" width="12" customWidth="1"/>
    <col min="8" max="18" width="18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2">
      <c r="A2" s="10" t="s">
        <v>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 t="s">
        <v>92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 t="s">
        <v>93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 t="s">
        <v>94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4.950000000000003" customHeight="1">
      <c r="A7" s="4" t="s">
        <v>42</v>
      </c>
      <c r="B7" s="4" t="s">
        <v>95</v>
      </c>
      <c r="C7" s="4" t="s">
        <v>96</v>
      </c>
      <c r="D7" s="4" t="s">
        <v>97</v>
      </c>
      <c r="E7" s="4" t="s">
        <v>98</v>
      </c>
      <c r="F7" s="4" t="s">
        <v>56</v>
      </c>
      <c r="G7" s="4" t="s">
        <v>55</v>
      </c>
      <c r="H7" s="4" t="s">
        <v>99</v>
      </c>
      <c r="I7" s="4" t="s">
        <v>100</v>
      </c>
      <c r="J7" s="4" t="s">
        <v>101</v>
      </c>
      <c r="K7" s="4" t="s">
        <v>48</v>
      </c>
      <c r="L7" s="4" t="s">
        <v>49</v>
      </c>
      <c r="M7" s="4" t="s">
        <v>50</v>
      </c>
      <c r="N7" s="4" t="s">
        <v>51</v>
      </c>
      <c r="O7" s="4" t="s">
        <v>102</v>
      </c>
      <c r="P7" s="4" t="s">
        <v>103</v>
      </c>
      <c r="Q7" s="4" t="s">
        <v>104</v>
      </c>
      <c r="R7" s="4" t="s">
        <v>105</v>
      </c>
      <c r="S7" s="1"/>
      <c r="T7" s="1"/>
    </row>
    <row r="8" spans="1:20">
      <c r="A8" s="24" t="s">
        <v>58</v>
      </c>
      <c r="B8" s="24">
        <v>1</v>
      </c>
      <c r="C8" s="24" t="s">
        <v>106</v>
      </c>
      <c r="D8" s="24" t="s">
        <v>107</v>
      </c>
      <c r="E8" s="24" t="s">
        <v>108</v>
      </c>
      <c r="F8" s="26">
        <v>2400</v>
      </c>
      <c r="G8" s="26">
        <v>5</v>
      </c>
      <c r="H8" s="28">
        <v>0.25</v>
      </c>
      <c r="I8" s="28">
        <v>591.04</v>
      </c>
      <c r="J8" s="6">
        <f>IF(OR(A8="",I8=""),"",IF(SUMIFS($I$8:$I$657,$A$8:$A$657,A8)=0,"",I8*SUMIFS('Facturas y gastos'!$D$10:$D$13,'Facturas y gastos'!$A$10:$A$13,A8)/SUMIFS($I$8:$I$657,$A$8:$A$657,A8)))</f>
        <v>591.03999999999985</v>
      </c>
      <c r="K8" s="6">
        <f>IF(J8="","",IF(SUMIFS('Facturas y gastos'!$D$10:$D$13,'Facturas y gastos'!$A$10:$A$13,A8)=0,"",J8*SUMIFS('Facturas y gastos'!$G$10:$G$13,'Facturas y gastos'!$A$10:$A$13,A8)/SUMIFS('Facturas y gastos'!$D$10:$D$13,'Facturas y gastos'!$A$10:$A$13,A8)))</f>
        <v>5.910431400188954</v>
      </c>
      <c r="L8" s="6">
        <f>IF(J8="","",IF(SUMIFS('Facturas y gastos'!$D$10:$D$13,'Facturas y gastos'!$A$10:$A$13,A8)=0,"",J8*SUMIFS('Facturas y gastos'!$H$10:$H$13,'Facturas y gastos'!$A$10:$A$13,A8)/SUMIFS('Facturas y gastos'!$D$10:$D$13,'Facturas y gastos'!$A$10:$A$13,A8)))</f>
        <v>17.731163366446214</v>
      </c>
      <c r="M8" s="6">
        <f>IF(J8="","",IF(SUMIFS('Facturas y gastos'!$D$10:$D$13,'Facturas y gastos'!$A$10:$A$13,A8)=0,"",J8*SUMIFS('Facturas y gastos'!$I$10:$I$13,'Facturas y gastos'!$A$10:$A$13,A8)/SUMIFS('Facturas y gastos'!$D$10:$D$13,'Facturas y gastos'!$A$10:$A$13,A8)))</f>
        <v>103.35895531044324</v>
      </c>
      <c r="N8" s="6">
        <f>IF(J8="","",IF(SUMIFS('Facturas y gastos'!$D$10:$D$13,'Facturas y gastos'!$A$10:$A$13,A8)=0,"",J8*SUMIFS('Facturas y gastos'!$J$10:$J$13,'Facturas y gastos'!$A$10:$A$13,A8)/SUMIFS('Facturas y gastos'!$D$10:$D$13,'Facturas y gastos'!$A$10:$A$13,A8)))</f>
        <v>0</v>
      </c>
      <c r="O8" s="6">
        <f t="shared" ref="O8:O71" si="0">IF(J8="","",J8-K8+L8+M8+N8)</f>
        <v>706.21968727670037</v>
      </c>
      <c r="P8" s="6" t="str">
        <f>IF(OR(O8="",'Facturas y gastos'!$B$24="",'Facturas y gastos'!$B$45&lt;&gt;"OK",SUM($O$8:$O$657)=0),"",O8*'Facturas y gastos'!$B$43/SUM($O$8:$O$657))</f>
        <v/>
      </c>
      <c r="Q8" s="6" t="str">
        <f>IF(OR(O8="",'Facturas y gastos'!$B$5="",P8=""),"",O8*'Facturas y gastos'!$B$5+P8)</f>
        <v/>
      </c>
      <c r="R8" s="6" t="str">
        <f t="shared" ref="R8:R71" si="1">IF(OR(Q8="",F8="",F8=0),"",Q8/F8)</f>
        <v/>
      </c>
      <c r="S8" s="1"/>
      <c r="T8" s="1"/>
    </row>
    <row r="9" spans="1:20">
      <c r="A9" s="24" t="s">
        <v>58</v>
      </c>
      <c r="B9" s="24">
        <v>2</v>
      </c>
      <c r="C9" s="24" t="s">
        <v>109</v>
      </c>
      <c r="D9" s="24" t="s">
        <v>107</v>
      </c>
      <c r="E9" s="24" t="s">
        <v>108</v>
      </c>
      <c r="F9" s="26">
        <v>2400</v>
      </c>
      <c r="G9" s="26">
        <v>5</v>
      </c>
      <c r="H9" s="28">
        <v>0.2</v>
      </c>
      <c r="I9" s="28">
        <v>483.58</v>
      </c>
      <c r="J9" s="6">
        <f>IF(OR(A9="",I9=""),"",IF(SUMIFS($I$8:$I$657,$A$8:$A$657,A9)=0,"",I9*SUMIFS('Facturas y gastos'!$D$10:$D$13,'Facturas y gastos'!$A$10:$A$13,A9)/SUMIFS($I$8:$I$657,$A$8:$A$657,A9)))</f>
        <v>483.57999999999993</v>
      </c>
      <c r="K9" s="6">
        <f>IF(J9="","",IF(SUMIFS('Facturas y gastos'!$D$10:$D$13,'Facturas y gastos'!$A$10:$A$13,A9)=0,"",J9*SUMIFS('Facturas y gastos'!$G$10:$G$13,'Facturas y gastos'!$A$10:$A$13,A9)/SUMIFS('Facturas y gastos'!$D$10:$D$13,'Facturas y gastos'!$A$10:$A$13,A9)))</f>
        <v>4.8358256911602835</v>
      </c>
      <c r="L9" s="6">
        <f>IF(J9="","",IF(SUMIFS('Facturas y gastos'!$D$10:$D$13,'Facturas y gastos'!$A$10:$A$13,A9)=0,"",J9*SUMIFS('Facturas y gastos'!$H$10:$H$13,'Facturas y gastos'!$A$10:$A$13,A9)/SUMIFS('Facturas y gastos'!$D$10:$D$13,'Facturas y gastos'!$A$10:$A$13,A9)))</f>
        <v>14.507370026979665</v>
      </c>
      <c r="M9" s="6">
        <f>IF(J9="","",IF(SUMIFS('Facturas y gastos'!$D$10:$D$13,'Facturas y gastos'!$A$10:$A$13,A9)=0,"",J9*SUMIFS('Facturas y gastos'!$I$10:$I$13,'Facturas y gastos'!$A$10:$A$13,A9)/SUMIFS('Facturas y gastos'!$D$10:$D$13,'Facturas y gastos'!$A$10:$A$13,A9)))</f>
        <v>84.566735938386813</v>
      </c>
      <c r="N9" s="6">
        <f>IF(J9="","",IF(SUMIFS('Facturas y gastos'!$D$10:$D$13,'Facturas y gastos'!$A$10:$A$13,A9)=0,"",J9*SUMIFS('Facturas y gastos'!$J$10:$J$13,'Facturas y gastos'!$A$10:$A$13,A9)/SUMIFS('Facturas y gastos'!$D$10:$D$13,'Facturas y gastos'!$A$10:$A$13,A9)))</f>
        <v>0</v>
      </c>
      <c r="O9" s="6">
        <f t="shared" si="0"/>
        <v>577.81828027420613</v>
      </c>
      <c r="P9" s="6" t="str">
        <f>IF(OR(O9="",'Facturas y gastos'!$B$24="",'Facturas y gastos'!$B$45&lt;&gt;"OK",SUM($O$8:$O$657)=0),"",O9*'Facturas y gastos'!$B$43/SUM($O$8:$O$657))</f>
        <v/>
      </c>
      <c r="Q9" s="6" t="str">
        <f>IF(OR(O9="",'Facturas y gastos'!$B$5="",P9=""),"",O9*'Facturas y gastos'!$B$5+P9)</f>
        <v/>
      </c>
      <c r="R9" s="6" t="str">
        <f t="shared" si="1"/>
        <v/>
      </c>
      <c r="S9" s="1"/>
      <c r="T9" s="1"/>
    </row>
    <row r="10" spans="1:20">
      <c r="A10" s="24" t="s">
        <v>58</v>
      </c>
      <c r="B10" s="24">
        <v>3</v>
      </c>
      <c r="C10" s="24" t="s">
        <v>110</v>
      </c>
      <c r="D10" s="24" t="s">
        <v>107</v>
      </c>
      <c r="E10" s="24" t="s">
        <v>108</v>
      </c>
      <c r="F10" s="26">
        <v>2400</v>
      </c>
      <c r="G10" s="26">
        <v>5</v>
      </c>
      <c r="H10" s="28">
        <v>0.19</v>
      </c>
      <c r="I10" s="28">
        <v>447.76</v>
      </c>
      <c r="J10" s="6">
        <f>IF(OR(A10="",I10=""),"",IF(SUMIFS($I$8:$I$657,$A$8:$A$657,A10)=0,"",I10*SUMIFS('Facturas y gastos'!$D$10:$D$13,'Facturas y gastos'!$A$10:$A$13,A10)/SUMIFS($I$8:$I$657,$A$8:$A$657,A10)))</f>
        <v>447.75999999999988</v>
      </c>
      <c r="K10" s="6">
        <f>IF(J10="","",IF(SUMIFS('Facturas y gastos'!$D$10:$D$13,'Facturas y gastos'!$A$10:$A$13,A10)=0,"",J10*SUMIFS('Facturas y gastos'!$G$10:$G$13,'Facturas y gastos'!$A$10:$A$13,A10)/SUMIFS('Facturas y gastos'!$D$10:$D$13,'Facturas y gastos'!$A$10:$A$13,A10)))</f>
        <v>4.4776237881507273</v>
      </c>
      <c r="L10" s="6">
        <f>IF(J10="","",IF(SUMIFS('Facturas y gastos'!$D$10:$D$13,'Facturas y gastos'!$A$10:$A$13,A10)=0,"",J10*SUMIFS('Facturas y gastos'!$H$10:$H$13,'Facturas y gastos'!$A$10:$A$13,A10)/SUMIFS('Facturas y gastos'!$D$10:$D$13,'Facturas y gastos'!$A$10:$A$13,A10)))</f>
        <v>13.43277224715748</v>
      </c>
      <c r="M10" s="6">
        <f>IF(J10="","",IF(SUMIFS('Facturas y gastos'!$D$10:$D$13,'Facturas y gastos'!$A$10:$A$13,A10)=0,"",J10*SUMIFS('Facturas y gastos'!$I$10:$I$13,'Facturas y gastos'!$A$10:$A$13,A10)/SUMIFS('Facturas y gastos'!$D$10:$D$13,'Facturas y gastos'!$A$10:$A$13,A10)))</f>
        <v>78.302662814368006</v>
      </c>
      <c r="N10" s="6">
        <f>IF(J10="","",IF(SUMIFS('Facturas y gastos'!$D$10:$D$13,'Facturas y gastos'!$A$10:$A$13,A10)=0,"",J10*SUMIFS('Facturas y gastos'!$J$10:$J$13,'Facturas y gastos'!$A$10:$A$13,A10)/SUMIFS('Facturas y gastos'!$D$10:$D$13,'Facturas y gastos'!$A$10:$A$13,A10)))</f>
        <v>0</v>
      </c>
      <c r="O10" s="6">
        <f t="shared" si="0"/>
        <v>535.0178112733746</v>
      </c>
      <c r="P10" s="6" t="str">
        <f>IF(OR(O10="",'Facturas y gastos'!$B$24="",'Facturas y gastos'!$B$45&lt;&gt;"OK",SUM($O$8:$O$657)=0),"",O10*'Facturas y gastos'!$B$43/SUM($O$8:$O$657))</f>
        <v/>
      </c>
      <c r="Q10" s="6" t="str">
        <f>IF(OR(O10="",'Facturas y gastos'!$B$5="",P10=""),"",O10*'Facturas y gastos'!$B$5+P10)</f>
        <v/>
      </c>
      <c r="R10" s="6" t="str">
        <f t="shared" si="1"/>
        <v/>
      </c>
      <c r="S10" s="1"/>
      <c r="T10" s="1"/>
    </row>
    <row r="11" spans="1:20">
      <c r="A11" s="24" t="s">
        <v>58</v>
      </c>
      <c r="B11" s="24">
        <v>4</v>
      </c>
      <c r="C11" s="24" t="s">
        <v>111</v>
      </c>
      <c r="D11" s="24" t="s">
        <v>112</v>
      </c>
      <c r="E11" s="24" t="s">
        <v>108</v>
      </c>
      <c r="F11" s="26">
        <v>180</v>
      </c>
      <c r="G11" s="26">
        <v>5</v>
      </c>
      <c r="H11" s="28">
        <v>2.02</v>
      </c>
      <c r="I11" s="28">
        <v>363.6</v>
      </c>
      <c r="J11" s="6">
        <f>IF(OR(A11="",I11=""),"",IF(SUMIFS($I$8:$I$657,$A$8:$A$657,A11)=0,"",I11*SUMIFS('Facturas y gastos'!$D$10:$D$13,'Facturas y gastos'!$A$10:$A$13,A11)/SUMIFS($I$8:$I$657,$A$8:$A$657,A11)))</f>
        <v>363.59999999999997</v>
      </c>
      <c r="K11" s="6">
        <f>IF(J11="","",IF(SUMIFS('Facturas y gastos'!$D$10:$D$13,'Facturas y gastos'!$A$10:$A$13,A11)=0,"",J11*SUMIFS('Facturas y gastos'!$G$10:$G$13,'Facturas y gastos'!$A$10:$A$13,A11)/SUMIFS('Facturas y gastos'!$D$10:$D$13,'Facturas y gastos'!$A$10:$A$13,A11)))</f>
        <v>3.6360193169814292</v>
      </c>
      <c r="L11" s="6">
        <f>IF(J11="","",IF(SUMIFS('Facturas y gastos'!$D$10:$D$13,'Facturas y gastos'!$A$10:$A$13,A11)=0,"",J11*SUMIFS('Facturas y gastos'!$H$10:$H$13,'Facturas y gastos'!$A$10:$A$13,A11)/SUMIFS('Facturas y gastos'!$D$10:$D$13,'Facturas y gastos'!$A$10:$A$13,A11)))</f>
        <v>10.907977463521664</v>
      </c>
      <c r="M11" s="6">
        <f>IF(J11="","",IF(SUMIFS('Facturas y gastos'!$D$10:$D$13,'Facturas y gastos'!$A$10:$A$13,A11)=0,"",J11*SUMIFS('Facturas y gastos'!$I$10:$I$13,'Facturas y gastos'!$A$10:$A$13,A11)/SUMIFS('Facturas y gastos'!$D$10:$D$13,'Facturas y gastos'!$A$10:$A$13,A11)))</f>
        <v>63.585063871949721</v>
      </c>
      <c r="N11" s="6">
        <f>IF(J11="","",IF(SUMIFS('Facturas y gastos'!$D$10:$D$13,'Facturas y gastos'!$A$10:$A$13,A11)=0,"",J11*SUMIFS('Facturas y gastos'!$J$10:$J$13,'Facturas y gastos'!$A$10:$A$13,A11)/SUMIFS('Facturas y gastos'!$D$10:$D$13,'Facturas y gastos'!$A$10:$A$13,A11)))</f>
        <v>0</v>
      </c>
      <c r="O11" s="6">
        <f t="shared" si="0"/>
        <v>434.45702201848991</v>
      </c>
      <c r="P11" s="6" t="str">
        <f>IF(OR(O11="",'Facturas y gastos'!$B$24="",'Facturas y gastos'!$B$45&lt;&gt;"OK",SUM($O$8:$O$657)=0),"",O11*'Facturas y gastos'!$B$43/SUM($O$8:$O$657))</f>
        <v/>
      </c>
      <c r="Q11" s="6" t="str">
        <f>IF(OR(O11="",'Facturas y gastos'!$B$5="",P11=""),"",O11*'Facturas y gastos'!$B$5+P11)</f>
        <v/>
      </c>
      <c r="R11" s="6" t="str">
        <f t="shared" si="1"/>
        <v/>
      </c>
      <c r="S11" s="1"/>
      <c r="T11" s="1"/>
    </row>
    <row r="12" spans="1:20">
      <c r="A12" s="24" t="s">
        <v>58</v>
      </c>
      <c r="B12" s="24">
        <v>5</v>
      </c>
      <c r="C12" s="24" t="s">
        <v>113</v>
      </c>
      <c r="D12" s="24" t="s">
        <v>112</v>
      </c>
      <c r="E12" s="24" t="s">
        <v>108</v>
      </c>
      <c r="F12" s="26">
        <v>300</v>
      </c>
      <c r="G12" s="26">
        <v>5</v>
      </c>
      <c r="H12" s="28">
        <v>1.1000000000000001</v>
      </c>
      <c r="I12" s="28">
        <v>330</v>
      </c>
      <c r="J12" s="6">
        <f>IF(OR(A12="",I12=""),"",IF(SUMIFS($I$8:$I$657,$A$8:$A$657,A12)=0,"",I12*SUMIFS('Facturas y gastos'!$D$10:$D$13,'Facturas y gastos'!$A$10:$A$13,A12)/SUMIFS($I$8:$I$657,$A$8:$A$657,A12)))</f>
        <v>329.99999999999994</v>
      </c>
      <c r="K12" s="6">
        <f>IF(J12="","",IF(SUMIFS('Facturas y gastos'!$D$10:$D$13,'Facturas y gastos'!$A$10:$A$13,A12)=0,"",J12*SUMIFS('Facturas y gastos'!$G$10:$G$13,'Facturas y gastos'!$A$10:$A$13,A12)/SUMIFS('Facturas y gastos'!$D$10:$D$13,'Facturas y gastos'!$A$10:$A$13,A12)))</f>
        <v>3.3000175319138378</v>
      </c>
      <c r="L12" s="6">
        <f>IF(J12="","",IF(SUMIFS('Facturas y gastos'!$D$10:$D$13,'Facturas y gastos'!$A$10:$A$13,A12)=0,"",J12*SUMIFS('Facturas y gastos'!$H$10:$H$13,'Facturas y gastos'!$A$10:$A$13,A12)/SUMIFS('Facturas y gastos'!$D$10:$D$13,'Facturas y gastos'!$A$10:$A$13,A12)))</f>
        <v>9.8999795461005196</v>
      </c>
      <c r="M12" s="6">
        <f>IF(J12="","",IF(SUMIFS('Facturas y gastos'!$D$10:$D$13,'Facturas y gastos'!$A$10:$A$13,A12)=0,"",J12*SUMIFS('Facturas y gastos'!$I$10:$I$13,'Facturas y gastos'!$A$10:$A$13,A12)/SUMIFS('Facturas y gastos'!$D$10:$D$13,'Facturas y gastos'!$A$10:$A$13,A12)))</f>
        <v>57.709216385432917</v>
      </c>
      <c r="N12" s="6">
        <f>IF(J12="","",IF(SUMIFS('Facturas y gastos'!$D$10:$D$13,'Facturas y gastos'!$A$10:$A$13,A12)=0,"",J12*SUMIFS('Facturas y gastos'!$J$10:$J$13,'Facturas y gastos'!$A$10:$A$13,A12)/SUMIFS('Facturas y gastos'!$D$10:$D$13,'Facturas y gastos'!$A$10:$A$13,A12)))</f>
        <v>0</v>
      </c>
      <c r="O12" s="6">
        <f t="shared" si="0"/>
        <v>394.3091783996195</v>
      </c>
      <c r="P12" s="6" t="str">
        <f>IF(OR(O12="",'Facturas y gastos'!$B$24="",'Facturas y gastos'!$B$45&lt;&gt;"OK",SUM($O$8:$O$657)=0),"",O12*'Facturas y gastos'!$B$43/SUM($O$8:$O$657))</f>
        <v/>
      </c>
      <c r="Q12" s="6" t="str">
        <f>IF(OR(O12="",'Facturas y gastos'!$B$5="",P12=""),"",O12*'Facturas y gastos'!$B$5+P12)</f>
        <v/>
      </c>
      <c r="R12" s="6" t="str">
        <f t="shared" si="1"/>
        <v/>
      </c>
      <c r="S12" s="1"/>
      <c r="T12" s="1"/>
    </row>
    <row r="13" spans="1:20">
      <c r="A13" s="24" t="s">
        <v>58</v>
      </c>
      <c r="B13" s="24">
        <v>6</v>
      </c>
      <c r="C13" s="24" t="s">
        <v>114</v>
      </c>
      <c r="D13" s="24" t="s">
        <v>112</v>
      </c>
      <c r="E13" s="24" t="s">
        <v>108</v>
      </c>
      <c r="F13" s="26">
        <v>300</v>
      </c>
      <c r="G13" s="26">
        <v>5</v>
      </c>
      <c r="H13" s="28">
        <v>1.1000000000000001</v>
      </c>
      <c r="I13" s="28">
        <v>330</v>
      </c>
      <c r="J13" s="6">
        <f>IF(OR(A13="",I13=""),"",IF(SUMIFS($I$8:$I$657,$A$8:$A$657,A13)=0,"",I13*SUMIFS('Facturas y gastos'!$D$10:$D$13,'Facturas y gastos'!$A$10:$A$13,A13)/SUMIFS($I$8:$I$657,$A$8:$A$657,A13)))</f>
        <v>329.99999999999994</v>
      </c>
      <c r="K13" s="6">
        <f>IF(J13="","",IF(SUMIFS('Facturas y gastos'!$D$10:$D$13,'Facturas y gastos'!$A$10:$A$13,A13)=0,"",J13*SUMIFS('Facturas y gastos'!$G$10:$G$13,'Facturas y gastos'!$A$10:$A$13,A13)/SUMIFS('Facturas y gastos'!$D$10:$D$13,'Facturas y gastos'!$A$10:$A$13,A13)))</f>
        <v>3.3000175319138378</v>
      </c>
      <c r="L13" s="6">
        <f>IF(J13="","",IF(SUMIFS('Facturas y gastos'!$D$10:$D$13,'Facturas y gastos'!$A$10:$A$13,A13)=0,"",J13*SUMIFS('Facturas y gastos'!$H$10:$H$13,'Facturas y gastos'!$A$10:$A$13,A13)/SUMIFS('Facturas y gastos'!$D$10:$D$13,'Facturas y gastos'!$A$10:$A$13,A13)))</f>
        <v>9.8999795461005196</v>
      </c>
      <c r="M13" s="6">
        <f>IF(J13="","",IF(SUMIFS('Facturas y gastos'!$D$10:$D$13,'Facturas y gastos'!$A$10:$A$13,A13)=0,"",J13*SUMIFS('Facturas y gastos'!$I$10:$I$13,'Facturas y gastos'!$A$10:$A$13,A13)/SUMIFS('Facturas y gastos'!$D$10:$D$13,'Facturas y gastos'!$A$10:$A$13,A13)))</f>
        <v>57.709216385432917</v>
      </c>
      <c r="N13" s="6">
        <f>IF(J13="","",IF(SUMIFS('Facturas y gastos'!$D$10:$D$13,'Facturas y gastos'!$A$10:$A$13,A13)=0,"",J13*SUMIFS('Facturas y gastos'!$J$10:$J$13,'Facturas y gastos'!$A$10:$A$13,A13)/SUMIFS('Facturas y gastos'!$D$10:$D$13,'Facturas y gastos'!$A$10:$A$13,A13)))</f>
        <v>0</v>
      </c>
      <c r="O13" s="6">
        <f t="shared" si="0"/>
        <v>394.3091783996195</v>
      </c>
      <c r="P13" s="6" t="str">
        <f>IF(OR(O13="",'Facturas y gastos'!$B$24="",'Facturas y gastos'!$B$45&lt;&gt;"OK",SUM($O$8:$O$657)=0),"",O13*'Facturas y gastos'!$B$43/SUM($O$8:$O$657))</f>
        <v/>
      </c>
      <c r="Q13" s="6" t="str">
        <f>IF(OR(O13="",'Facturas y gastos'!$B$5="",P13=""),"",O13*'Facturas y gastos'!$B$5+P13)</f>
        <v/>
      </c>
      <c r="R13" s="6" t="str">
        <f t="shared" si="1"/>
        <v/>
      </c>
      <c r="S13" s="1"/>
      <c r="T13" s="1"/>
    </row>
    <row r="14" spans="1:20">
      <c r="A14" s="24" t="s">
        <v>58</v>
      </c>
      <c r="B14" s="24">
        <v>7</v>
      </c>
      <c r="C14" s="24" t="s">
        <v>115</v>
      </c>
      <c r="D14" s="24" t="s">
        <v>112</v>
      </c>
      <c r="E14" s="24" t="s">
        <v>108</v>
      </c>
      <c r="F14" s="26">
        <v>300</v>
      </c>
      <c r="G14" s="26">
        <v>5</v>
      </c>
      <c r="H14" s="28">
        <v>1.1000000000000001</v>
      </c>
      <c r="I14" s="28">
        <v>330</v>
      </c>
      <c r="J14" s="6">
        <f>IF(OR(A14="",I14=""),"",IF(SUMIFS($I$8:$I$657,$A$8:$A$657,A14)=0,"",I14*SUMIFS('Facturas y gastos'!$D$10:$D$13,'Facturas y gastos'!$A$10:$A$13,A14)/SUMIFS($I$8:$I$657,$A$8:$A$657,A14)))</f>
        <v>329.99999999999994</v>
      </c>
      <c r="K14" s="6">
        <f>IF(J14="","",IF(SUMIFS('Facturas y gastos'!$D$10:$D$13,'Facturas y gastos'!$A$10:$A$13,A14)=0,"",J14*SUMIFS('Facturas y gastos'!$G$10:$G$13,'Facturas y gastos'!$A$10:$A$13,A14)/SUMIFS('Facturas y gastos'!$D$10:$D$13,'Facturas y gastos'!$A$10:$A$13,A14)))</f>
        <v>3.3000175319138378</v>
      </c>
      <c r="L14" s="6">
        <f>IF(J14="","",IF(SUMIFS('Facturas y gastos'!$D$10:$D$13,'Facturas y gastos'!$A$10:$A$13,A14)=0,"",J14*SUMIFS('Facturas y gastos'!$H$10:$H$13,'Facturas y gastos'!$A$10:$A$13,A14)/SUMIFS('Facturas y gastos'!$D$10:$D$13,'Facturas y gastos'!$A$10:$A$13,A14)))</f>
        <v>9.8999795461005196</v>
      </c>
      <c r="M14" s="6">
        <f>IF(J14="","",IF(SUMIFS('Facturas y gastos'!$D$10:$D$13,'Facturas y gastos'!$A$10:$A$13,A14)=0,"",J14*SUMIFS('Facturas y gastos'!$I$10:$I$13,'Facturas y gastos'!$A$10:$A$13,A14)/SUMIFS('Facturas y gastos'!$D$10:$D$13,'Facturas y gastos'!$A$10:$A$13,A14)))</f>
        <v>57.709216385432917</v>
      </c>
      <c r="N14" s="6">
        <f>IF(J14="","",IF(SUMIFS('Facturas y gastos'!$D$10:$D$13,'Facturas y gastos'!$A$10:$A$13,A14)=0,"",J14*SUMIFS('Facturas y gastos'!$J$10:$J$13,'Facturas y gastos'!$A$10:$A$13,A14)/SUMIFS('Facturas y gastos'!$D$10:$D$13,'Facturas y gastos'!$A$10:$A$13,A14)))</f>
        <v>0</v>
      </c>
      <c r="O14" s="6">
        <f t="shared" si="0"/>
        <v>394.3091783996195</v>
      </c>
      <c r="P14" s="6" t="str">
        <f>IF(OR(O14="",'Facturas y gastos'!$B$24="",'Facturas y gastos'!$B$45&lt;&gt;"OK",SUM($O$8:$O$657)=0),"",O14*'Facturas y gastos'!$B$43/SUM($O$8:$O$657))</f>
        <v/>
      </c>
      <c r="Q14" s="6" t="str">
        <f>IF(OR(O14="",'Facturas y gastos'!$B$5="",P14=""),"",O14*'Facturas y gastos'!$B$5+P14)</f>
        <v/>
      </c>
      <c r="R14" s="6" t="str">
        <f t="shared" si="1"/>
        <v/>
      </c>
      <c r="S14" s="1"/>
      <c r="T14" s="1"/>
    </row>
    <row r="15" spans="1:20">
      <c r="A15" s="24" t="s">
        <v>58</v>
      </c>
      <c r="B15" s="24">
        <v>8</v>
      </c>
      <c r="C15" s="24" t="s">
        <v>116</v>
      </c>
      <c r="D15" s="24" t="s">
        <v>112</v>
      </c>
      <c r="E15" s="24" t="s">
        <v>108</v>
      </c>
      <c r="F15" s="26">
        <v>180</v>
      </c>
      <c r="G15" s="26">
        <v>5</v>
      </c>
      <c r="H15" s="28">
        <v>3.37</v>
      </c>
      <c r="I15" s="28">
        <v>606.6</v>
      </c>
      <c r="J15" s="6">
        <f>IF(OR(A15="",I15=""),"",IF(SUMIFS($I$8:$I$657,$A$8:$A$657,A15)=0,"",I15*SUMIFS('Facturas y gastos'!$D$10:$D$13,'Facturas y gastos'!$A$10:$A$13,A15)/SUMIFS($I$8:$I$657,$A$8:$A$657,A15)))</f>
        <v>606.59999999999991</v>
      </c>
      <c r="K15" s="6">
        <f>IF(J15="","",IF(SUMIFS('Facturas y gastos'!$D$10:$D$13,'Facturas y gastos'!$A$10:$A$13,A15)=0,"",J15*SUMIFS('Facturas y gastos'!$G$10:$G$13,'Facturas y gastos'!$A$10:$A$13,A15)/SUMIFS('Facturas y gastos'!$D$10:$D$13,'Facturas y gastos'!$A$10:$A$13,A15)))</f>
        <v>6.0660322268452544</v>
      </c>
      <c r="L15" s="6">
        <f>IF(J15="","",IF(SUMIFS('Facturas y gastos'!$D$10:$D$13,'Facturas y gastos'!$A$10:$A$13,A15)=0,"",J15*SUMIFS('Facturas y gastos'!$H$10:$H$13,'Facturas y gastos'!$A$10:$A$13,A15)/SUMIFS('Facturas y gastos'!$D$10:$D$13,'Facturas y gastos'!$A$10:$A$13,A15)))</f>
        <v>18.197962402013864</v>
      </c>
      <c r="M15" s="6">
        <f>IF(J15="","",IF(SUMIFS('Facturas y gastos'!$D$10:$D$13,'Facturas y gastos'!$A$10:$A$13,A15)=0,"",J15*SUMIFS('Facturas y gastos'!$I$10:$I$13,'Facturas y gastos'!$A$10:$A$13,A15)/SUMIFS('Facturas y gastos'!$D$10:$D$13,'Facturas y gastos'!$A$10:$A$13,A15)))</f>
        <v>106.08003230122304</v>
      </c>
      <c r="N15" s="6">
        <f>IF(J15="","",IF(SUMIFS('Facturas y gastos'!$D$10:$D$13,'Facturas y gastos'!$A$10:$A$13,A15)=0,"",J15*SUMIFS('Facturas y gastos'!$J$10:$J$13,'Facturas y gastos'!$A$10:$A$13,A15)/SUMIFS('Facturas y gastos'!$D$10:$D$13,'Facturas y gastos'!$A$10:$A$13,A15)))</f>
        <v>0</v>
      </c>
      <c r="O15" s="6">
        <f t="shared" si="0"/>
        <v>724.81196247639161</v>
      </c>
      <c r="P15" s="6" t="str">
        <f>IF(OR(O15="",'Facturas y gastos'!$B$24="",'Facturas y gastos'!$B$45&lt;&gt;"OK",SUM($O$8:$O$657)=0),"",O15*'Facturas y gastos'!$B$43/SUM($O$8:$O$657))</f>
        <v/>
      </c>
      <c r="Q15" s="6" t="str">
        <f>IF(OR(O15="",'Facturas y gastos'!$B$5="",P15=""),"",O15*'Facturas y gastos'!$B$5+P15)</f>
        <v/>
      </c>
      <c r="R15" s="6" t="str">
        <f t="shared" si="1"/>
        <v/>
      </c>
      <c r="S15" s="1"/>
      <c r="T15" s="1"/>
    </row>
    <row r="16" spans="1:20">
      <c r="A16" s="24" t="s">
        <v>58</v>
      </c>
      <c r="B16" s="24">
        <v>9</v>
      </c>
      <c r="C16" s="24" t="s">
        <v>117</v>
      </c>
      <c r="D16" s="24" t="s">
        <v>118</v>
      </c>
      <c r="E16" s="24" t="s">
        <v>108</v>
      </c>
      <c r="F16" s="26">
        <v>40</v>
      </c>
      <c r="G16" s="26">
        <v>5</v>
      </c>
      <c r="H16" s="28">
        <v>9.2799999999999994</v>
      </c>
      <c r="I16" s="28">
        <v>371.2</v>
      </c>
      <c r="J16" s="6">
        <f>IF(OR(A16="",I16=""),"",IF(SUMIFS($I$8:$I$657,$A$8:$A$657,A16)=0,"",I16*SUMIFS('Facturas y gastos'!$D$10:$D$13,'Facturas y gastos'!$A$10:$A$13,A16)/SUMIFS($I$8:$I$657,$A$8:$A$657,A16)))</f>
        <v>371.19999999999993</v>
      </c>
      <c r="K16" s="6">
        <f>IF(J16="","",IF(SUMIFS('Facturas y gastos'!$D$10:$D$13,'Facturas y gastos'!$A$10:$A$13,A16)=0,"",J16*SUMIFS('Facturas y gastos'!$G$10:$G$13,'Facturas y gastos'!$A$10:$A$13,A16)/SUMIFS('Facturas y gastos'!$D$10:$D$13,'Facturas y gastos'!$A$10:$A$13,A16)))</f>
        <v>3.7120197207467172</v>
      </c>
      <c r="L16" s="6">
        <f>IF(J16="","",IF(SUMIFS('Facturas y gastos'!$D$10:$D$13,'Facturas y gastos'!$A$10:$A$13,A16)=0,"",J16*SUMIFS('Facturas y gastos'!$H$10:$H$13,'Facturas y gastos'!$A$10:$A$13,A16)/SUMIFS('Facturas y gastos'!$D$10:$D$13,'Facturas y gastos'!$A$10:$A$13,A16)))</f>
        <v>11.13597699246216</v>
      </c>
      <c r="M16" s="6">
        <f>IF(J16="","",IF(SUMIFS('Facturas y gastos'!$D$10:$D$13,'Facturas y gastos'!$A$10:$A$13,A16)=0,"",J16*SUMIFS('Facturas y gastos'!$I$10:$I$13,'Facturas y gastos'!$A$10:$A$13,A16)/SUMIFS('Facturas y gastos'!$D$10:$D$13,'Facturas y gastos'!$A$10:$A$13,A16)))</f>
        <v>64.914124612947575</v>
      </c>
      <c r="N16" s="6">
        <f>IF(J16="","",IF(SUMIFS('Facturas y gastos'!$D$10:$D$13,'Facturas y gastos'!$A$10:$A$13,A16)=0,"",J16*SUMIFS('Facturas y gastos'!$J$10:$J$13,'Facturas y gastos'!$A$10:$A$13,A16)/SUMIFS('Facturas y gastos'!$D$10:$D$13,'Facturas y gastos'!$A$10:$A$13,A16)))</f>
        <v>0</v>
      </c>
      <c r="O16" s="6">
        <f t="shared" si="0"/>
        <v>443.53808188466292</v>
      </c>
      <c r="P16" s="6" t="str">
        <f>IF(OR(O16="",'Facturas y gastos'!$B$24="",'Facturas y gastos'!$B$45&lt;&gt;"OK",SUM($O$8:$O$657)=0),"",O16*'Facturas y gastos'!$B$43/SUM($O$8:$O$657))</f>
        <v/>
      </c>
      <c r="Q16" s="6" t="str">
        <f>IF(OR(O16="",'Facturas y gastos'!$B$5="",P16=""),"",O16*'Facturas y gastos'!$B$5+P16)</f>
        <v/>
      </c>
      <c r="R16" s="6" t="str">
        <f t="shared" si="1"/>
        <v/>
      </c>
      <c r="S16" s="1"/>
      <c r="T16" s="1"/>
    </row>
    <row r="17" spans="1:20">
      <c r="A17" s="24" t="s">
        <v>58</v>
      </c>
      <c r="B17" s="24">
        <v>10</v>
      </c>
      <c r="C17" s="24" t="s">
        <v>119</v>
      </c>
      <c r="D17" s="24" t="s">
        <v>118</v>
      </c>
      <c r="E17" s="24" t="s">
        <v>108</v>
      </c>
      <c r="F17" s="26">
        <v>60</v>
      </c>
      <c r="G17" s="26">
        <v>10</v>
      </c>
      <c r="H17" s="28">
        <v>7.67</v>
      </c>
      <c r="I17" s="28">
        <v>460.2</v>
      </c>
      <c r="J17" s="6">
        <f>IF(OR(A17="",I17=""),"",IF(SUMIFS($I$8:$I$657,$A$8:$A$657,A17)=0,"",I17*SUMIFS('Facturas y gastos'!$D$10:$D$13,'Facturas y gastos'!$A$10:$A$13,A17)/SUMIFS($I$8:$I$657,$A$8:$A$657,A17)))</f>
        <v>460.19999999999993</v>
      </c>
      <c r="K17" s="6">
        <f>IF(J17="","",IF(SUMIFS('Facturas y gastos'!$D$10:$D$13,'Facturas y gastos'!$A$10:$A$13,A17)=0,"",J17*SUMIFS('Facturas y gastos'!$G$10:$G$13,'Facturas y gastos'!$A$10:$A$13,A17)/SUMIFS('Facturas y gastos'!$D$10:$D$13,'Facturas y gastos'!$A$10:$A$13,A17)))</f>
        <v>4.6020244490507523</v>
      </c>
      <c r="L17" s="6">
        <f>IF(J17="","",IF(SUMIFS('Facturas y gastos'!$D$10:$D$13,'Facturas y gastos'!$A$10:$A$13,A17)=0,"",J17*SUMIFS('Facturas y gastos'!$H$10:$H$13,'Facturas y gastos'!$A$10:$A$13,A17)/SUMIFS('Facturas y gastos'!$D$10:$D$13,'Facturas y gastos'!$A$10:$A$13,A17)))</f>
        <v>13.805971476107452</v>
      </c>
      <c r="M17" s="6">
        <f>IF(J17="","",IF(SUMIFS('Facturas y gastos'!$D$10:$D$13,'Facturas y gastos'!$A$10:$A$13,A17)=0,"",J17*SUMIFS('Facturas y gastos'!$I$10:$I$13,'Facturas y gastos'!$A$10:$A$13,A17)/SUMIFS('Facturas y gastos'!$D$10:$D$13,'Facturas y gastos'!$A$10:$A$13,A17)))</f>
        <v>80.478125395685538</v>
      </c>
      <c r="N17" s="6">
        <f>IF(J17="","",IF(SUMIFS('Facturas y gastos'!$D$10:$D$13,'Facturas y gastos'!$A$10:$A$13,A17)=0,"",J17*SUMIFS('Facturas y gastos'!$J$10:$J$13,'Facturas y gastos'!$A$10:$A$13,A17)/SUMIFS('Facturas y gastos'!$D$10:$D$13,'Facturas y gastos'!$A$10:$A$13,A17)))</f>
        <v>0</v>
      </c>
      <c r="O17" s="6">
        <f t="shared" si="0"/>
        <v>549.88207242274211</v>
      </c>
      <c r="P17" s="6" t="str">
        <f>IF(OR(O17="",'Facturas y gastos'!$B$24="",'Facturas y gastos'!$B$45&lt;&gt;"OK",SUM($O$8:$O$657)=0),"",O17*'Facturas y gastos'!$B$43/SUM($O$8:$O$657))</f>
        <v/>
      </c>
      <c r="Q17" s="6" t="str">
        <f>IF(OR(O17="",'Facturas y gastos'!$B$5="",P17=""),"",O17*'Facturas y gastos'!$B$5+P17)</f>
        <v/>
      </c>
      <c r="R17" s="6" t="str">
        <f t="shared" si="1"/>
        <v/>
      </c>
      <c r="S17" s="1"/>
      <c r="T17" s="1"/>
    </row>
    <row r="18" spans="1:20">
      <c r="A18" s="24" t="s">
        <v>58</v>
      </c>
      <c r="B18" s="24">
        <v>11</v>
      </c>
      <c r="C18" s="24" t="s">
        <v>120</v>
      </c>
      <c r="D18" s="24" t="s">
        <v>121</v>
      </c>
      <c r="E18" s="24" t="s">
        <v>108</v>
      </c>
      <c r="F18" s="26">
        <v>30</v>
      </c>
      <c r="G18" s="26">
        <v>5</v>
      </c>
      <c r="H18" s="28">
        <v>10.46</v>
      </c>
      <c r="I18" s="28">
        <v>313.8</v>
      </c>
      <c r="J18" s="6">
        <f>IF(OR(A18="",I18=""),"",IF(SUMIFS($I$8:$I$657,$A$8:$A$657,A18)=0,"",I18*SUMIFS('Facturas y gastos'!$D$10:$D$13,'Facturas y gastos'!$A$10:$A$13,A18)/SUMIFS($I$8:$I$657,$A$8:$A$657,A18)))</f>
        <v>313.79999999999995</v>
      </c>
      <c r="K18" s="6">
        <f>IF(J18="","",IF(SUMIFS('Facturas y gastos'!$D$10:$D$13,'Facturas y gastos'!$A$10:$A$13,A18)=0,"",J18*SUMIFS('Facturas y gastos'!$G$10:$G$13,'Facturas y gastos'!$A$10:$A$13,A18)/SUMIFS('Facturas y gastos'!$D$10:$D$13,'Facturas y gastos'!$A$10:$A$13,A18)))</f>
        <v>3.1380166712562492</v>
      </c>
      <c r="L18" s="6">
        <f>IF(J18="","",IF(SUMIFS('Facturas y gastos'!$D$10:$D$13,'Facturas y gastos'!$A$10:$A$13,A18)=0,"",J18*SUMIFS('Facturas y gastos'!$H$10:$H$13,'Facturas y gastos'!$A$10:$A$13,A18)/SUMIFS('Facturas y gastos'!$D$10:$D$13,'Facturas y gastos'!$A$10:$A$13,A18)))</f>
        <v>9.413980550201039</v>
      </c>
      <c r="M18" s="6">
        <f>IF(J18="","",IF(SUMIFS('Facturas y gastos'!$D$10:$D$13,'Facturas y gastos'!$A$10:$A$13,A18)=0,"",J18*SUMIFS('Facturas y gastos'!$I$10:$I$13,'Facturas y gastos'!$A$10:$A$13,A18)/SUMIFS('Facturas y gastos'!$D$10:$D$13,'Facturas y gastos'!$A$10:$A$13,A18)))</f>
        <v>54.876218490148027</v>
      </c>
      <c r="N18" s="6">
        <f>IF(J18="","",IF(SUMIFS('Facturas y gastos'!$D$10:$D$13,'Facturas y gastos'!$A$10:$A$13,A18)=0,"",J18*SUMIFS('Facturas y gastos'!$J$10:$J$13,'Facturas y gastos'!$A$10:$A$13,A18)/SUMIFS('Facturas y gastos'!$D$10:$D$13,'Facturas y gastos'!$A$10:$A$13,A18)))</f>
        <v>0</v>
      </c>
      <c r="O18" s="6">
        <f t="shared" si="0"/>
        <v>374.95218236909272</v>
      </c>
      <c r="P18" s="6" t="str">
        <f>IF(OR(O18="",'Facturas y gastos'!$B$24="",'Facturas y gastos'!$B$45&lt;&gt;"OK",SUM($O$8:$O$657)=0),"",O18*'Facturas y gastos'!$B$43/SUM($O$8:$O$657))</f>
        <v/>
      </c>
      <c r="Q18" s="6" t="str">
        <f>IF(OR(O18="",'Facturas y gastos'!$B$5="",P18=""),"",O18*'Facturas y gastos'!$B$5+P18)</f>
        <v/>
      </c>
      <c r="R18" s="6" t="str">
        <f t="shared" si="1"/>
        <v/>
      </c>
      <c r="S18" s="1"/>
      <c r="T18" s="1"/>
    </row>
    <row r="19" spans="1:20">
      <c r="A19" s="24" t="s">
        <v>58</v>
      </c>
      <c r="B19" s="24">
        <v>12</v>
      </c>
      <c r="C19" s="24" t="s">
        <v>122</v>
      </c>
      <c r="D19" s="24" t="s">
        <v>118</v>
      </c>
      <c r="E19" s="24" t="s">
        <v>108</v>
      </c>
      <c r="F19" s="26">
        <v>30</v>
      </c>
      <c r="G19" s="26">
        <v>5</v>
      </c>
      <c r="H19" s="28">
        <v>9.2799999999999994</v>
      </c>
      <c r="I19" s="28">
        <v>278.39999999999998</v>
      </c>
      <c r="J19" s="6">
        <f>IF(OR(A19="",I19=""),"",IF(SUMIFS($I$8:$I$657,$A$8:$A$657,A19)=0,"",I19*SUMIFS('Facturas y gastos'!$D$10:$D$13,'Facturas y gastos'!$A$10:$A$13,A19)/SUMIFS($I$8:$I$657,$A$8:$A$657,A19)))</f>
        <v>278.39999999999998</v>
      </c>
      <c r="K19" s="6">
        <f>IF(J19="","",IF(SUMIFS('Facturas y gastos'!$D$10:$D$13,'Facturas y gastos'!$A$10:$A$13,A19)=0,"",J19*SUMIFS('Facturas y gastos'!$G$10:$G$13,'Facturas y gastos'!$A$10:$A$13,A19)/SUMIFS('Facturas y gastos'!$D$10:$D$13,'Facturas y gastos'!$A$10:$A$13,A19)))</f>
        <v>2.7840147905600379</v>
      </c>
      <c r="L19" s="6">
        <f>IF(J19="","",IF(SUMIFS('Facturas y gastos'!$D$10:$D$13,'Facturas y gastos'!$A$10:$A$13,A19)=0,"",J19*SUMIFS('Facturas y gastos'!$H$10:$H$13,'Facturas y gastos'!$A$10:$A$13,A19)/SUMIFS('Facturas y gastos'!$D$10:$D$13,'Facturas y gastos'!$A$10:$A$13,A19)))</f>
        <v>8.3519827443466212</v>
      </c>
      <c r="M19" s="6">
        <f>IF(J19="","",IF(SUMIFS('Facturas y gastos'!$D$10:$D$13,'Facturas y gastos'!$A$10:$A$13,A19)=0,"",J19*SUMIFS('Facturas y gastos'!$I$10:$I$13,'Facturas y gastos'!$A$10:$A$13,A19)/SUMIFS('Facturas y gastos'!$D$10:$D$13,'Facturas y gastos'!$A$10:$A$13,A19)))</f>
        <v>48.685593459710688</v>
      </c>
      <c r="N19" s="6">
        <f>IF(J19="","",IF(SUMIFS('Facturas y gastos'!$D$10:$D$13,'Facturas y gastos'!$A$10:$A$13,A19)=0,"",J19*SUMIFS('Facturas y gastos'!$J$10:$J$13,'Facturas y gastos'!$A$10:$A$13,A19)/SUMIFS('Facturas y gastos'!$D$10:$D$13,'Facturas y gastos'!$A$10:$A$13,A19)))</f>
        <v>0</v>
      </c>
      <c r="O19" s="6">
        <f t="shared" si="0"/>
        <v>332.65356141349724</v>
      </c>
      <c r="P19" s="6" t="str">
        <f>IF(OR(O19="",'Facturas y gastos'!$B$24="",'Facturas y gastos'!$B$45&lt;&gt;"OK",SUM($O$8:$O$657)=0),"",O19*'Facturas y gastos'!$B$43/SUM($O$8:$O$657))</f>
        <v/>
      </c>
      <c r="Q19" s="6" t="str">
        <f>IF(OR(O19="",'Facturas y gastos'!$B$5="",P19=""),"",O19*'Facturas y gastos'!$B$5+P19)</f>
        <v/>
      </c>
      <c r="R19" s="6" t="str">
        <f t="shared" si="1"/>
        <v/>
      </c>
      <c r="S19" s="1"/>
      <c r="T19" s="1"/>
    </row>
    <row r="20" spans="1:20">
      <c r="A20" s="24" t="s">
        <v>58</v>
      </c>
      <c r="B20" s="24">
        <v>13</v>
      </c>
      <c r="C20" s="24" t="s">
        <v>123</v>
      </c>
      <c r="D20" s="24" t="s">
        <v>118</v>
      </c>
      <c r="E20" s="24" t="s">
        <v>108</v>
      </c>
      <c r="F20" s="26">
        <v>30</v>
      </c>
      <c r="G20" s="26">
        <v>5</v>
      </c>
      <c r="H20" s="28">
        <v>9.7799999999999994</v>
      </c>
      <c r="I20" s="28">
        <v>293.39999999999998</v>
      </c>
      <c r="J20" s="6">
        <f>IF(OR(A20="",I20=""),"",IF(SUMIFS($I$8:$I$657,$A$8:$A$657,A20)=0,"",I20*SUMIFS('Facturas y gastos'!$D$10:$D$13,'Facturas y gastos'!$A$10:$A$13,A20)/SUMIFS($I$8:$I$657,$A$8:$A$657,A20)))</f>
        <v>293.39999999999992</v>
      </c>
      <c r="K20" s="6">
        <f>IF(J20="","",IF(SUMIFS('Facturas y gastos'!$D$10:$D$13,'Facturas y gastos'!$A$10:$A$13,A20)=0,"",J20*SUMIFS('Facturas y gastos'!$G$10:$G$13,'Facturas y gastos'!$A$10:$A$13,A20)/SUMIFS('Facturas y gastos'!$D$10:$D$13,'Facturas y gastos'!$A$10:$A$13,A20)))</f>
        <v>2.9340155874652116</v>
      </c>
      <c r="L20" s="6">
        <f>IF(J20="","",IF(SUMIFS('Facturas y gastos'!$D$10:$D$13,'Facturas y gastos'!$A$10:$A$13,A20)=0,"",J20*SUMIFS('Facturas y gastos'!$H$10:$H$13,'Facturas y gastos'!$A$10:$A$13,A20)/SUMIFS('Facturas y gastos'!$D$10:$D$13,'Facturas y gastos'!$A$10:$A$13,A20)))</f>
        <v>8.8019818146239164</v>
      </c>
      <c r="M20" s="6">
        <f>IF(J20="","",IF(SUMIFS('Facturas y gastos'!$D$10:$D$13,'Facturas y gastos'!$A$10:$A$13,A20)=0,"",J20*SUMIFS('Facturas y gastos'!$I$10:$I$13,'Facturas y gastos'!$A$10:$A$13,A20)/SUMIFS('Facturas y gastos'!$D$10:$D$13,'Facturas y gastos'!$A$10:$A$13,A20)))</f>
        <v>51.308739659048534</v>
      </c>
      <c r="N20" s="6">
        <f>IF(J20="","",IF(SUMIFS('Facturas y gastos'!$D$10:$D$13,'Facturas y gastos'!$A$10:$A$13,A20)=0,"",J20*SUMIFS('Facturas y gastos'!$J$10:$J$13,'Facturas y gastos'!$A$10:$A$13,A20)/SUMIFS('Facturas y gastos'!$D$10:$D$13,'Facturas y gastos'!$A$10:$A$13,A20)))</f>
        <v>0</v>
      </c>
      <c r="O20" s="6">
        <f t="shared" si="0"/>
        <v>350.57670588620709</v>
      </c>
      <c r="P20" s="6" t="str">
        <f>IF(OR(O20="",'Facturas y gastos'!$B$24="",'Facturas y gastos'!$B$45&lt;&gt;"OK",SUM($O$8:$O$657)=0),"",O20*'Facturas y gastos'!$B$43/SUM($O$8:$O$657))</f>
        <v/>
      </c>
      <c r="Q20" s="6" t="str">
        <f>IF(OR(O20="",'Facturas y gastos'!$B$5="",P20=""),"",O20*'Facturas y gastos'!$B$5+P20)</f>
        <v/>
      </c>
      <c r="R20" s="6" t="str">
        <f t="shared" si="1"/>
        <v/>
      </c>
      <c r="S20" s="1"/>
      <c r="T20" s="1"/>
    </row>
    <row r="21" spans="1:20">
      <c r="A21" s="24" t="s">
        <v>58</v>
      </c>
      <c r="B21" s="24">
        <v>14</v>
      </c>
      <c r="C21" s="24" t="s">
        <v>124</v>
      </c>
      <c r="D21" s="24" t="s">
        <v>118</v>
      </c>
      <c r="E21" s="24" t="s">
        <v>108</v>
      </c>
      <c r="F21" s="26">
        <v>60</v>
      </c>
      <c r="G21" s="26">
        <v>10</v>
      </c>
      <c r="H21" s="28">
        <v>9.7799999999999994</v>
      </c>
      <c r="I21" s="28">
        <v>586.79999999999995</v>
      </c>
      <c r="J21" s="6">
        <f>IF(OR(A21="",I21=""),"",IF(SUMIFS($I$8:$I$657,$A$8:$A$657,A21)=0,"",I21*SUMIFS('Facturas y gastos'!$D$10:$D$13,'Facturas y gastos'!$A$10:$A$13,A21)/SUMIFS($I$8:$I$657,$A$8:$A$657,A21)))</f>
        <v>586.79999999999984</v>
      </c>
      <c r="K21" s="6">
        <f>IF(J21="","",IF(SUMIFS('Facturas y gastos'!$D$10:$D$13,'Facturas y gastos'!$A$10:$A$13,A21)=0,"",J21*SUMIFS('Facturas y gastos'!$G$10:$G$13,'Facturas y gastos'!$A$10:$A$13,A21)/SUMIFS('Facturas y gastos'!$D$10:$D$13,'Facturas y gastos'!$A$10:$A$13,A21)))</f>
        <v>5.8680311749304233</v>
      </c>
      <c r="L21" s="6">
        <f>IF(J21="","",IF(SUMIFS('Facturas y gastos'!$D$10:$D$13,'Facturas y gastos'!$A$10:$A$13,A21)=0,"",J21*SUMIFS('Facturas y gastos'!$H$10:$H$13,'Facturas y gastos'!$A$10:$A$13,A21)/SUMIFS('Facturas y gastos'!$D$10:$D$13,'Facturas y gastos'!$A$10:$A$13,A21)))</f>
        <v>17.603963629247833</v>
      </c>
      <c r="M21" s="6">
        <f>IF(J21="","",IF(SUMIFS('Facturas y gastos'!$D$10:$D$13,'Facturas y gastos'!$A$10:$A$13,A21)=0,"",J21*SUMIFS('Facturas y gastos'!$I$10:$I$13,'Facturas y gastos'!$A$10:$A$13,A21)/SUMIFS('Facturas y gastos'!$D$10:$D$13,'Facturas y gastos'!$A$10:$A$13,A21)))</f>
        <v>102.61747931809707</v>
      </c>
      <c r="N21" s="6">
        <f>IF(J21="","",IF(SUMIFS('Facturas y gastos'!$D$10:$D$13,'Facturas y gastos'!$A$10:$A$13,A21)=0,"",J21*SUMIFS('Facturas y gastos'!$J$10:$J$13,'Facturas y gastos'!$A$10:$A$13,A21)/SUMIFS('Facturas y gastos'!$D$10:$D$13,'Facturas y gastos'!$A$10:$A$13,A21)))</f>
        <v>0</v>
      </c>
      <c r="O21" s="6">
        <f t="shared" si="0"/>
        <v>701.15341177241419</v>
      </c>
      <c r="P21" s="6" t="str">
        <f>IF(OR(O21="",'Facturas y gastos'!$B$24="",'Facturas y gastos'!$B$45&lt;&gt;"OK",SUM($O$8:$O$657)=0),"",O21*'Facturas y gastos'!$B$43/SUM($O$8:$O$657))</f>
        <v/>
      </c>
      <c r="Q21" s="6" t="str">
        <f>IF(OR(O21="",'Facturas y gastos'!$B$5="",P21=""),"",O21*'Facturas y gastos'!$B$5+P21)</f>
        <v/>
      </c>
      <c r="R21" s="6" t="str">
        <f t="shared" si="1"/>
        <v/>
      </c>
      <c r="S21" s="1"/>
      <c r="T21" s="1"/>
    </row>
    <row r="22" spans="1:20">
      <c r="A22" s="24" t="s">
        <v>58</v>
      </c>
      <c r="B22" s="24">
        <v>15</v>
      </c>
      <c r="C22" s="24" t="s">
        <v>125</v>
      </c>
      <c r="D22" s="24" t="s">
        <v>118</v>
      </c>
      <c r="E22" s="24" t="s">
        <v>108</v>
      </c>
      <c r="F22" s="26">
        <v>150</v>
      </c>
      <c r="G22" s="26">
        <v>3</v>
      </c>
      <c r="H22" s="28">
        <v>1.2</v>
      </c>
      <c r="I22" s="28">
        <v>180</v>
      </c>
      <c r="J22" s="6">
        <f>IF(OR(A22="",I22=""),"",IF(SUMIFS($I$8:$I$657,$A$8:$A$657,A22)=0,"",I22*SUMIFS('Facturas y gastos'!$D$10:$D$13,'Facturas y gastos'!$A$10:$A$13,A22)/SUMIFS($I$8:$I$657,$A$8:$A$657,A22)))</f>
        <v>179.99999999999997</v>
      </c>
      <c r="K22" s="6">
        <f>IF(J22="","",IF(SUMIFS('Facturas y gastos'!$D$10:$D$13,'Facturas y gastos'!$A$10:$A$13,A22)=0,"",J22*SUMIFS('Facturas y gastos'!$G$10:$G$13,'Facturas y gastos'!$A$10:$A$13,A22)/SUMIFS('Facturas y gastos'!$D$10:$D$13,'Facturas y gastos'!$A$10:$A$13,A22)))</f>
        <v>1.8000095628620933</v>
      </c>
      <c r="L22" s="6">
        <f>IF(J22="","",IF(SUMIFS('Facturas y gastos'!$D$10:$D$13,'Facturas y gastos'!$A$10:$A$13,A22)=0,"",J22*SUMIFS('Facturas y gastos'!$H$10:$H$13,'Facturas y gastos'!$A$10:$A$13,A22)/SUMIFS('Facturas y gastos'!$D$10:$D$13,'Facturas y gastos'!$A$10:$A$13,A22)))</f>
        <v>5.3999888433275558</v>
      </c>
      <c r="M22" s="6">
        <f>IF(J22="","",IF(SUMIFS('Facturas y gastos'!$D$10:$D$13,'Facturas y gastos'!$A$10:$A$13,A22)=0,"",J22*SUMIFS('Facturas y gastos'!$I$10:$I$13,'Facturas y gastos'!$A$10:$A$13,A22)/SUMIFS('Facturas y gastos'!$D$10:$D$13,'Facturas y gastos'!$A$10:$A$13,A22)))</f>
        <v>31.477754392054319</v>
      </c>
      <c r="N22" s="6">
        <f>IF(J22="","",IF(SUMIFS('Facturas y gastos'!$D$10:$D$13,'Facturas y gastos'!$A$10:$A$13,A22)=0,"",J22*SUMIFS('Facturas y gastos'!$J$10:$J$13,'Facturas y gastos'!$A$10:$A$13,A22)/SUMIFS('Facturas y gastos'!$D$10:$D$13,'Facturas y gastos'!$A$10:$A$13,A22)))</f>
        <v>0</v>
      </c>
      <c r="O22" s="6">
        <f t="shared" si="0"/>
        <v>215.07773367251974</v>
      </c>
      <c r="P22" s="6" t="str">
        <f>IF(OR(O22="",'Facturas y gastos'!$B$24="",'Facturas y gastos'!$B$45&lt;&gt;"OK",SUM($O$8:$O$657)=0),"",O22*'Facturas y gastos'!$B$43/SUM($O$8:$O$657))</f>
        <v/>
      </c>
      <c r="Q22" s="6" t="str">
        <f>IF(OR(O22="",'Facturas y gastos'!$B$5="",P22=""),"",O22*'Facturas y gastos'!$B$5+P22)</f>
        <v/>
      </c>
      <c r="R22" s="6" t="str">
        <f t="shared" si="1"/>
        <v/>
      </c>
      <c r="S22" s="1"/>
      <c r="T22" s="1"/>
    </row>
    <row r="23" spans="1:20">
      <c r="A23" s="24" t="s">
        <v>58</v>
      </c>
      <c r="B23" s="24">
        <v>16</v>
      </c>
      <c r="C23" s="24" t="s">
        <v>126</v>
      </c>
      <c r="D23" s="24" t="s">
        <v>118</v>
      </c>
      <c r="E23" s="24" t="s">
        <v>108</v>
      </c>
      <c r="F23" s="26">
        <v>120</v>
      </c>
      <c r="G23" s="26">
        <v>3</v>
      </c>
      <c r="H23" s="28">
        <v>1.72</v>
      </c>
      <c r="I23" s="28">
        <v>206.4</v>
      </c>
      <c r="J23" s="6">
        <f>IF(OR(A23="",I23=""),"",IF(SUMIFS($I$8:$I$657,$A$8:$A$657,A23)=0,"",I23*SUMIFS('Facturas y gastos'!$D$10:$D$13,'Facturas y gastos'!$A$10:$A$13,A23)/SUMIFS($I$8:$I$657,$A$8:$A$657,A23)))</f>
        <v>206.4</v>
      </c>
      <c r="K23" s="6">
        <f>IF(J23="","",IF(SUMIFS('Facturas y gastos'!$D$10:$D$13,'Facturas y gastos'!$A$10:$A$13,A23)=0,"",J23*SUMIFS('Facturas y gastos'!$G$10:$G$13,'Facturas y gastos'!$A$10:$A$13,A23)/SUMIFS('Facturas y gastos'!$D$10:$D$13,'Facturas y gastos'!$A$10:$A$13,A23)))</f>
        <v>2.0640109654152008</v>
      </c>
      <c r="L23" s="6">
        <f>IF(J23="","",IF(SUMIFS('Facturas y gastos'!$D$10:$D$13,'Facturas y gastos'!$A$10:$A$13,A23)=0,"",J23*SUMIFS('Facturas y gastos'!$H$10:$H$13,'Facturas y gastos'!$A$10:$A$13,A23)/SUMIFS('Facturas y gastos'!$D$10:$D$13,'Facturas y gastos'!$A$10:$A$13,A23)))</f>
        <v>6.1919872070155995</v>
      </c>
      <c r="M23" s="6">
        <f>IF(J23="","",IF(SUMIFS('Facturas y gastos'!$D$10:$D$13,'Facturas y gastos'!$A$10:$A$13,A23)=0,"",J23*SUMIFS('Facturas y gastos'!$I$10:$I$13,'Facturas y gastos'!$A$10:$A$13,A23)/SUMIFS('Facturas y gastos'!$D$10:$D$13,'Facturas y gastos'!$A$10:$A$13,A23)))</f>
        <v>36.094491702888959</v>
      </c>
      <c r="N23" s="6">
        <f>IF(J23="","",IF(SUMIFS('Facturas y gastos'!$D$10:$D$13,'Facturas y gastos'!$A$10:$A$13,A23)=0,"",J23*SUMIFS('Facturas y gastos'!$J$10:$J$13,'Facturas y gastos'!$A$10:$A$13,A23)/SUMIFS('Facturas y gastos'!$D$10:$D$13,'Facturas y gastos'!$A$10:$A$13,A23)))</f>
        <v>0</v>
      </c>
      <c r="O23" s="6">
        <f t="shared" si="0"/>
        <v>246.62246794448936</v>
      </c>
      <c r="P23" s="6" t="str">
        <f>IF(OR(O23="",'Facturas y gastos'!$B$24="",'Facturas y gastos'!$B$45&lt;&gt;"OK",SUM($O$8:$O$657)=0),"",O23*'Facturas y gastos'!$B$43/SUM($O$8:$O$657))</f>
        <v/>
      </c>
      <c r="Q23" s="6" t="str">
        <f>IF(OR(O23="",'Facturas y gastos'!$B$5="",P23=""),"",O23*'Facturas y gastos'!$B$5+P23)</f>
        <v/>
      </c>
      <c r="R23" s="6" t="str">
        <f t="shared" si="1"/>
        <v/>
      </c>
      <c r="S23" s="1"/>
      <c r="T23" s="1"/>
    </row>
    <row r="24" spans="1:20">
      <c r="A24" s="24" t="s">
        <v>58</v>
      </c>
      <c r="B24" s="24">
        <v>17</v>
      </c>
      <c r="C24" s="24" t="s">
        <v>127</v>
      </c>
      <c r="D24" s="24" t="s">
        <v>121</v>
      </c>
      <c r="E24" s="24" t="s">
        <v>108</v>
      </c>
      <c r="F24" s="26">
        <v>80</v>
      </c>
      <c r="G24" s="26">
        <v>5</v>
      </c>
      <c r="H24" s="28">
        <v>4.3899999999999997</v>
      </c>
      <c r="I24" s="28">
        <v>351.2</v>
      </c>
      <c r="J24" s="6">
        <f>IF(OR(A24="",I24=""),"",IF(SUMIFS($I$8:$I$657,$A$8:$A$657,A24)=0,"",I24*SUMIFS('Facturas y gastos'!$D$10:$D$13,'Facturas y gastos'!$A$10:$A$13,A24)/SUMIFS($I$8:$I$657,$A$8:$A$657,A24)))</f>
        <v>351.19999999999993</v>
      </c>
      <c r="K24" s="6">
        <f>IF(J24="","",IF(SUMIFS('Facturas y gastos'!$D$10:$D$13,'Facturas y gastos'!$A$10:$A$13,A24)=0,"",J24*SUMIFS('Facturas y gastos'!$G$10:$G$13,'Facturas y gastos'!$A$10:$A$13,A24)/SUMIFS('Facturas y gastos'!$D$10:$D$13,'Facturas y gastos'!$A$10:$A$13,A24)))</f>
        <v>3.5120186582064847</v>
      </c>
      <c r="L24" s="6">
        <f>IF(J24="","",IF(SUMIFS('Facturas y gastos'!$D$10:$D$13,'Facturas y gastos'!$A$10:$A$13,A24)=0,"",J24*SUMIFS('Facturas y gastos'!$H$10:$H$13,'Facturas y gastos'!$A$10:$A$13,A24)/SUMIFS('Facturas y gastos'!$D$10:$D$13,'Facturas y gastos'!$A$10:$A$13,A24)))</f>
        <v>10.535978232092431</v>
      </c>
      <c r="M24" s="6">
        <f>IF(J24="","",IF(SUMIFS('Facturas y gastos'!$D$10:$D$13,'Facturas y gastos'!$A$10:$A$13,A24)=0,"",J24*SUMIFS('Facturas y gastos'!$I$10:$I$13,'Facturas y gastos'!$A$10:$A$13,A24)/SUMIFS('Facturas y gastos'!$D$10:$D$13,'Facturas y gastos'!$A$10:$A$13,A24)))</f>
        <v>61.416596347163754</v>
      </c>
      <c r="N24" s="6">
        <f>IF(J24="","",IF(SUMIFS('Facturas y gastos'!$D$10:$D$13,'Facturas y gastos'!$A$10:$A$13,A24)=0,"",J24*SUMIFS('Facturas y gastos'!$J$10:$J$13,'Facturas y gastos'!$A$10:$A$13,A24)/SUMIFS('Facturas y gastos'!$D$10:$D$13,'Facturas y gastos'!$A$10:$A$13,A24)))</f>
        <v>0</v>
      </c>
      <c r="O24" s="6">
        <f t="shared" si="0"/>
        <v>419.64055592104961</v>
      </c>
      <c r="P24" s="6" t="str">
        <f>IF(OR(O24="",'Facturas y gastos'!$B$24="",'Facturas y gastos'!$B$45&lt;&gt;"OK",SUM($O$8:$O$657)=0),"",O24*'Facturas y gastos'!$B$43/SUM($O$8:$O$657))</f>
        <v/>
      </c>
      <c r="Q24" s="6" t="str">
        <f>IF(OR(O24="",'Facturas y gastos'!$B$5="",P24=""),"",O24*'Facturas y gastos'!$B$5+P24)</f>
        <v/>
      </c>
      <c r="R24" s="6" t="str">
        <f t="shared" si="1"/>
        <v/>
      </c>
      <c r="S24" s="1"/>
      <c r="T24" s="1"/>
    </row>
    <row r="25" spans="1:20">
      <c r="A25" s="24" t="s">
        <v>58</v>
      </c>
      <c r="B25" s="24">
        <v>18</v>
      </c>
      <c r="C25" s="24" t="s">
        <v>128</v>
      </c>
      <c r="D25" s="24" t="s">
        <v>118</v>
      </c>
      <c r="E25" s="24" t="s">
        <v>108</v>
      </c>
      <c r="F25" s="26">
        <v>120</v>
      </c>
      <c r="G25" s="26">
        <v>5</v>
      </c>
      <c r="H25" s="28">
        <v>3.04</v>
      </c>
      <c r="I25" s="28">
        <v>364.8</v>
      </c>
      <c r="J25" s="6">
        <f>IF(OR(A25="",I25=""),"",IF(SUMIFS($I$8:$I$657,$A$8:$A$657,A25)=0,"",I25*SUMIFS('Facturas y gastos'!$D$10:$D$13,'Facturas y gastos'!$A$10:$A$13,A25)/SUMIFS($I$8:$I$657,$A$8:$A$657,A25)))</f>
        <v>364.79999999999995</v>
      </c>
      <c r="K25" s="6">
        <f>IF(J25="","",IF(SUMIFS('Facturas y gastos'!$D$10:$D$13,'Facturas y gastos'!$A$10:$A$13,A25)=0,"",J25*SUMIFS('Facturas y gastos'!$G$10:$G$13,'Facturas y gastos'!$A$10:$A$13,A25)/SUMIFS('Facturas y gastos'!$D$10:$D$13,'Facturas y gastos'!$A$10:$A$13,A25)))</f>
        <v>3.6480193807338424</v>
      </c>
      <c r="L25" s="6">
        <f>IF(J25="","",IF(SUMIFS('Facturas y gastos'!$D$10:$D$13,'Facturas y gastos'!$A$10:$A$13,A25)=0,"",J25*SUMIFS('Facturas y gastos'!$H$10:$H$13,'Facturas y gastos'!$A$10:$A$13,A25)/SUMIFS('Facturas y gastos'!$D$10:$D$13,'Facturas y gastos'!$A$10:$A$13,A25)))</f>
        <v>10.943977389143848</v>
      </c>
      <c r="M25" s="6">
        <f>IF(J25="","",IF(SUMIFS('Facturas y gastos'!$D$10:$D$13,'Facturas y gastos'!$A$10:$A$13,A25)=0,"",J25*SUMIFS('Facturas y gastos'!$I$10:$I$13,'Facturas y gastos'!$A$10:$A$13,A25)/SUMIFS('Facturas y gastos'!$D$10:$D$13,'Facturas y gastos'!$A$10:$A$13,A25)))</f>
        <v>63.794915567896751</v>
      </c>
      <c r="N25" s="6">
        <f>IF(J25="","",IF(SUMIFS('Facturas y gastos'!$D$10:$D$13,'Facturas y gastos'!$A$10:$A$13,A25)=0,"",J25*SUMIFS('Facturas y gastos'!$J$10:$J$13,'Facturas y gastos'!$A$10:$A$13,A25)/SUMIFS('Facturas y gastos'!$D$10:$D$13,'Facturas y gastos'!$A$10:$A$13,A25)))</f>
        <v>0</v>
      </c>
      <c r="O25" s="6">
        <f t="shared" si="0"/>
        <v>435.89087357630672</v>
      </c>
      <c r="P25" s="6" t="str">
        <f>IF(OR(O25="",'Facturas y gastos'!$B$24="",'Facturas y gastos'!$B$45&lt;&gt;"OK",SUM($O$8:$O$657)=0),"",O25*'Facturas y gastos'!$B$43/SUM($O$8:$O$657))</f>
        <v/>
      </c>
      <c r="Q25" s="6" t="str">
        <f>IF(OR(O25="",'Facturas y gastos'!$B$5="",P25=""),"",O25*'Facturas y gastos'!$B$5+P25)</f>
        <v/>
      </c>
      <c r="R25" s="6" t="str">
        <f t="shared" si="1"/>
        <v/>
      </c>
      <c r="S25" s="1"/>
      <c r="T25" s="1"/>
    </row>
    <row r="26" spans="1:20">
      <c r="A26" s="25" t="s">
        <v>58</v>
      </c>
      <c r="B26" s="25">
        <v>19</v>
      </c>
      <c r="C26" s="25" t="s">
        <v>129</v>
      </c>
      <c r="D26" s="25" t="s">
        <v>118</v>
      </c>
      <c r="E26" s="25" t="s">
        <v>108</v>
      </c>
      <c r="F26" s="27">
        <v>180</v>
      </c>
      <c r="G26" s="27">
        <v>3</v>
      </c>
      <c r="H26" s="29">
        <v>2.61</v>
      </c>
      <c r="I26" s="29">
        <v>469.8</v>
      </c>
      <c r="J26" s="8">
        <f>IF(OR(A26="",I26=""),"",IF(SUMIFS($I$8:$I$657,$A$8:$A$657,A26)=0,"",I26*SUMIFS('Facturas y gastos'!$D$10:$D$13,'Facturas y gastos'!$A$10:$A$13,A26)/SUMIFS($I$8:$I$657,$A$8:$A$657,A26)))</f>
        <v>469.7999999999999</v>
      </c>
      <c r="K26" s="8">
        <f>IF(J26="","",IF(SUMIFS('Facturas y gastos'!$D$10:$D$13,'Facturas y gastos'!$A$10:$A$13,A26)=0,"",J26*SUMIFS('Facturas y gastos'!$G$10:$G$13,'Facturas y gastos'!$A$10:$A$13,A26)/SUMIFS('Facturas y gastos'!$D$10:$D$13,'Facturas y gastos'!$A$10:$A$13,A26)))</f>
        <v>4.6980249590700636</v>
      </c>
      <c r="L26" s="8">
        <f>IF(J26="","",IF(SUMIFS('Facturas y gastos'!$D$10:$D$13,'Facturas y gastos'!$A$10:$A$13,A26)=0,"",J26*SUMIFS('Facturas y gastos'!$H$10:$H$13,'Facturas y gastos'!$A$10:$A$13,A26)/SUMIFS('Facturas y gastos'!$D$10:$D$13,'Facturas y gastos'!$A$10:$A$13,A26)))</f>
        <v>14.093970881084921</v>
      </c>
      <c r="M26" s="8">
        <f>IF(J26="","",IF(SUMIFS('Facturas y gastos'!$D$10:$D$13,'Facturas y gastos'!$A$10:$A$13,A26)=0,"",J26*SUMIFS('Facturas y gastos'!$I$10:$I$13,'Facturas y gastos'!$A$10:$A$13,A26)/SUMIFS('Facturas y gastos'!$D$10:$D$13,'Facturas y gastos'!$A$10:$A$13,A26)))</f>
        <v>82.156938963261766</v>
      </c>
      <c r="N26" s="8">
        <f>IF(J26="","",IF(SUMIFS('Facturas y gastos'!$D$10:$D$13,'Facturas y gastos'!$A$10:$A$13,A26)=0,"",J26*SUMIFS('Facturas y gastos'!$J$10:$J$13,'Facturas y gastos'!$A$10:$A$13,A26)/SUMIFS('Facturas y gastos'!$D$10:$D$13,'Facturas y gastos'!$A$10:$A$13,A26)))</f>
        <v>0</v>
      </c>
      <c r="O26" s="8">
        <f t="shared" si="0"/>
        <v>561.35288488527658</v>
      </c>
      <c r="P26" s="8" t="str">
        <f>IF(OR(O26="",'Facturas y gastos'!$B$24="",'Facturas y gastos'!$B$45&lt;&gt;"OK",SUM($O$8:$O$657)=0),"",O26*'Facturas y gastos'!$B$43/SUM($O$8:$O$657))</f>
        <v/>
      </c>
      <c r="Q26" s="8" t="str">
        <f>IF(OR(O26="",'Facturas y gastos'!$B$5="",P26=""),"",O26*'Facturas y gastos'!$B$5+P26)</f>
        <v/>
      </c>
      <c r="R26" s="8" t="str">
        <f t="shared" si="1"/>
        <v/>
      </c>
    </row>
    <row r="27" spans="1:20">
      <c r="A27" s="25" t="s">
        <v>58</v>
      </c>
      <c r="B27" s="25">
        <v>20</v>
      </c>
      <c r="C27" s="25" t="s">
        <v>130</v>
      </c>
      <c r="D27" s="25" t="s">
        <v>118</v>
      </c>
      <c r="E27" s="25" t="s">
        <v>108</v>
      </c>
      <c r="F27" s="27">
        <v>24</v>
      </c>
      <c r="G27" s="27">
        <v>2</v>
      </c>
      <c r="H27" s="29">
        <v>5.4</v>
      </c>
      <c r="I27" s="29">
        <v>129.6</v>
      </c>
      <c r="J27" s="8">
        <f>IF(OR(A27="",I27=""),"",IF(SUMIFS($I$8:$I$657,$A$8:$A$657,A27)=0,"",I27*SUMIFS('Facturas y gastos'!$D$10:$D$13,'Facturas y gastos'!$A$10:$A$13,A27)/SUMIFS($I$8:$I$657,$A$8:$A$657,A27)))</f>
        <v>129.59999999999997</v>
      </c>
      <c r="K27" s="8">
        <f>IF(J27="","",IF(SUMIFS('Facturas y gastos'!$D$10:$D$13,'Facturas y gastos'!$A$10:$A$13,A27)=0,"",J27*SUMIFS('Facturas y gastos'!$G$10:$G$13,'Facturas y gastos'!$A$10:$A$13,A27)/SUMIFS('Facturas y gastos'!$D$10:$D$13,'Facturas y gastos'!$A$10:$A$13,A27)))</f>
        <v>1.296006885260707</v>
      </c>
      <c r="L27" s="8">
        <f>IF(J27="","",IF(SUMIFS('Facturas y gastos'!$D$10:$D$13,'Facturas y gastos'!$A$10:$A$13,A27)=0,"",J27*SUMIFS('Facturas y gastos'!$H$10:$H$13,'Facturas y gastos'!$A$10:$A$13,A27)/SUMIFS('Facturas y gastos'!$D$10:$D$13,'Facturas y gastos'!$A$10:$A$13,A27)))</f>
        <v>3.8879919671958403</v>
      </c>
      <c r="M27" s="8">
        <f>IF(J27="","",IF(SUMIFS('Facturas y gastos'!$D$10:$D$13,'Facturas y gastos'!$A$10:$A$13,A27)=0,"",J27*SUMIFS('Facturas y gastos'!$I$10:$I$13,'Facturas y gastos'!$A$10:$A$13,A27)/SUMIFS('Facturas y gastos'!$D$10:$D$13,'Facturas y gastos'!$A$10:$A$13,A27)))</f>
        <v>22.663983162279106</v>
      </c>
      <c r="N27" s="8">
        <f>IF(J27="","",IF(SUMIFS('Facturas y gastos'!$D$10:$D$13,'Facturas y gastos'!$A$10:$A$13,A27)=0,"",J27*SUMIFS('Facturas y gastos'!$J$10:$J$13,'Facturas y gastos'!$A$10:$A$13,A27)/SUMIFS('Facturas y gastos'!$D$10:$D$13,'Facturas y gastos'!$A$10:$A$13,A27)))</f>
        <v>0</v>
      </c>
      <c r="O27" s="8">
        <f t="shared" si="0"/>
        <v>154.85596824421418</v>
      </c>
      <c r="P27" s="8" t="str">
        <f>IF(OR(O27="",'Facturas y gastos'!$B$24="",'Facturas y gastos'!$B$45&lt;&gt;"OK",SUM($O$8:$O$657)=0),"",O27*'Facturas y gastos'!$B$43/SUM($O$8:$O$657))</f>
        <v/>
      </c>
      <c r="Q27" s="8" t="str">
        <f>IF(OR(O27="",'Facturas y gastos'!$B$5="",P27=""),"",O27*'Facturas y gastos'!$B$5+P27)</f>
        <v/>
      </c>
      <c r="R27" s="8" t="str">
        <f t="shared" si="1"/>
        <v/>
      </c>
    </row>
    <row r="28" spans="1:20">
      <c r="A28" s="25" t="s">
        <v>58</v>
      </c>
      <c r="B28" s="25">
        <v>21</v>
      </c>
      <c r="C28" s="25" t="s">
        <v>131</v>
      </c>
      <c r="D28" s="25" t="s">
        <v>132</v>
      </c>
      <c r="E28" s="25" t="s">
        <v>108</v>
      </c>
      <c r="F28" s="27">
        <v>600</v>
      </c>
      <c r="G28" s="27">
        <v>5</v>
      </c>
      <c r="H28" s="29">
        <v>0.67</v>
      </c>
      <c r="I28" s="29">
        <v>402</v>
      </c>
      <c r="J28" s="8">
        <f>IF(OR(A28="",I28=""),"",IF(SUMIFS($I$8:$I$657,$A$8:$A$657,A28)=0,"",I28*SUMIFS('Facturas y gastos'!$D$10:$D$13,'Facturas y gastos'!$A$10:$A$13,A28)/SUMIFS($I$8:$I$657,$A$8:$A$657,A28)))</f>
        <v>401.99999999999989</v>
      </c>
      <c r="K28" s="8">
        <f>IF(J28="","",IF(SUMIFS('Facturas y gastos'!$D$10:$D$13,'Facturas y gastos'!$A$10:$A$13,A28)=0,"",J28*SUMIFS('Facturas y gastos'!$G$10:$G$13,'Facturas y gastos'!$A$10:$A$13,A28)/SUMIFS('Facturas y gastos'!$D$10:$D$13,'Facturas y gastos'!$A$10:$A$13,A28)))</f>
        <v>4.0200213570586749</v>
      </c>
      <c r="L28" s="8">
        <f>IF(J28="","",IF(SUMIFS('Facturas y gastos'!$D$10:$D$13,'Facturas y gastos'!$A$10:$A$13,A28)=0,"",J28*SUMIFS('Facturas y gastos'!$H$10:$H$13,'Facturas y gastos'!$A$10:$A$13,A28)/SUMIFS('Facturas y gastos'!$D$10:$D$13,'Facturas y gastos'!$A$10:$A$13,A28)))</f>
        <v>12.05997508343154</v>
      </c>
      <c r="M28" s="8">
        <f>IF(J28="","",IF(SUMIFS('Facturas y gastos'!$D$10:$D$13,'Facturas y gastos'!$A$10:$A$13,A28)=0,"",J28*SUMIFS('Facturas y gastos'!$I$10:$I$13,'Facturas y gastos'!$A$10:$A$13,A28)/SUMIFS('Facturas y gastos'!$D$10:$D$13,'Facturas y gastos'!$A$10:$A$13,A28)))</f>
        <v>70.300318142254639</v>
      </c>
      <c r="N28" s="8">
        <f>IF(J28="","",IF(SUMIFS('Facturas y gastos'!$D$10:$D$13,'Facturas y gastos'!$A$10:$A$13,A28)=0,"",J28*SUMIFS('Facturas y gastos'!$J$10:$J$13,'Facturas y gastos'!$A$10:$A$13,A28)/SUMIFS('Facturas y gastos'!$D$10:$D$13,'Facturas y gastos'!$A$10:$A$13,A28)))</f>
        <v>0</v>
      </c>
      <c r="O28" s="8">
        <f t="shared" si="0"/>
        <v>480.34027186862738</v>
      </c>
      <c r="P28" s="8" t="str">
        <f>IF(OR(O28="",'Facturas y gastos'!$B$24="",'Facturas y gastos'!$B$45&lt;&gt;"OK",SUM($O$8:$O$657)=0),"",O28*'Facturas y gastos'!$B$43/SUM($O$8:$O$657))</f>
        <v/>
      </c>
      <c r="Q28" s="8" t="str">
        <f>IF(OR(O28="",'Facturas y gastos'!$B$5="",P28=""),"",O28*'Facturas y gastos'!$B$5+P28)</f>
        <v/>
      </c>
      <c r="R28" s="8" t="str">
        <f t="shared" si="1"/>
        <v/>
      </c>
    </row>
    <row r="29" spans="1:20">
      <c r="A29" s="25" t="s">
        <v>58</v>
      </c>
      <c r="B29" s="25">
        <v>22</v>
      </c>
      <c r="C29" s="25" t="s">
        <v>133</v>
      </c>
      <c r="D29" s="25" t="s">
        <v>134</v>
      </c>
      <c r="E29" s="25" t="s">
        <v>108</v>
      </c>
      <c r="F29" s="27">
        <v>240</v>
      </c>
      <c r="G29" s="27">
        <v>3</v>
      </c>
      <c r="H29" s="29">
        <v>1.1000000000000001</v>
      </c>
      <c r="I29" s="29">
        <v>264</v>
      </c>
      <c r="J29" s="8">
        <f>IF(OR(A29="",I29=""),"",IF(SUMIFS($I$8:$I$657,$A$8:$A$657,A29)=0,"",I29*SUMIFS('Facturas y gastos'!$D$10:$D$13,'Facturas y gastos'!$A$10:$A$13,A29)/SUMIFS($I$8:$I$657,$A$8:$A$657,A29)))</f>
        <v>263.99999999999994</v>
      </c>
      <c r="K29" s="8">
        <f>IF(J29="","",IF(SUMIFS('Facturas y gastos'!$D$10:$D$13,'Facturas y gastos'!$A$10:$A$13,A29)=0,"",J29*SUMIFS('Facturas y gastos'!$G$10:$G$13,'Facturas y gastos'!$A$10:$A$13,A29)/SUMIFS('Facturas y gastos'!$D$10:$D$13,'Facturas y gastos'!$A$10:$A$13,A29)))</f>
        <v>2.64001402553107</v>
      </c>
      <c r="L29" s="8">
        <f>IF(J29="","",IF(SUMIFS('Facturas y gastos'!$D$10:$D$13,'Facturas y gastos'!$A$10:$A$13,A29)=0,"",J29*SUMIFS('Facturas y gastos'!$H$10:$H$13,'Facturas y gastos'!$A$10:$A$13,A29)/SUMIFS('Facturas y gastos'!$D$10:$D$13,'Facturas y gastos'!$A$10:$A$13,A29)))</f>
        <v>7.9199836368804153</v>
      </c>
      <c r="M29" s="8">
        <f>IF(J29="","",IF(SUMIFS('Facturas y gastos'!$D$10:$D$13,'Facturas y gastos'!$A$10:$A$13,A29)=0,"",J29*SUMIFS('Facturas y gastos'!$I$10:$I$13,'Facturas y gastos'!$A$10:$A$13,A29)/SUMIFS('Facturas y gastos'!$D$10:$D$13,'Facturas y gastos'!$A$10:$A$13,A29)))</f>
        <v>46.167373108346332</v>
      </c>
      <c r="N29" s="8">
        <f>IF(J29="","",IF(SUMIFS('Facturas y gastos'!$D$10:$D$13,'Facturas y gastos'!$A$10:$A$13,A29)=0,"",J29*SUMIFS('Facturas y gastos'!$J$10:$J$13,'Facturas y gastos'!$A$10:$A$13,A29)/SUMIFS('Facturas y gastos'!$D$10:$D$13,'Facturas y gastos'!$A$10:$A$13,A29)))</f>
        <v>0</v>
      </c>
      <c r="O29" s="8">
        <f t="shared" si="0"/>
        <v>315.44734271969565</v>
      </c>
      <c r="P29" s="8" t="str">
        <f>IF(OR(O29="",'Facturas y gastos'!$B$24="",'Facturas y gastos'!$B$45&lt;&gt;"OK",SUM($O$8:$O$657)=0),"",O29*'Facturas y gastos'!$B$43/SUM($O$8:$O$657))</f>
        <v/>
      </c>
      <c r="Q29" s="8" t="str">
        <f>IF(OR(O29="",'Facturas y gastos'!$B$5="",P29=""),"",O29*'Facturas y gastos'!$B$5+P29)</f>
        <v/>
      </c>
      <c r="R29" s="8" t="str">
        <f t="shared" si="1"/>
        <v/>
      </c>
    </row>
    <row r="30" spans="1:20">
      <c r="A30" s="25" t="s">
        <v>58</v>
      </c>
      <c r="B30" s="25">
        <v>23</v>
      </c>
      <c r="C30" s="25" t="s">
        <v>135</v>
      </c>
      <c r="D30" s="25" t="s">
        <v>134</v>
      </c>
      <c r="E30" s="25" t="s">
        <v>108</v>
      </c>
      <c r="F30" s="27">
        <v>180</v>
      </c>
      <c r="G30" s="27">
        <v>3</v>
      </c>
      <c r="H30" s="29">
        <v>1.01</v>
      </c>
      <c r="I30" s="29">
        <v>181.8</v>
      </c>
      <c r="J30" s="8">
        <f>IF(OR(A30="",I30=""),"",IF(SUMIFS($I$8:$I$657,$A$8:$A$657,A30)=0,"",I30*SUMIFS('Facturas y gastos'!$D$10:$D$13,'Facturas y gastos'!$A$10:$A$13,A30)/SUMIFS($I$8:$I$657,$A$8:$A$657,A30)))</f>
        <v>181.79999999999998</v>
      </c>
      <c r="K30" s="8">
        <f>IF(J30="","",IF(SUMIFS('Facturas y gastos'!$D$10:$D$13,'Facturas y gastos'!$A$10:$A$13,A30)=0,"",J30*SUMIFS('Facturas y gastos'!$G$10:$G$13,'Facturas y gastos'!$A$10:$A$13,A30)/SUMIFS('Facturas y gastos'!$D$10:$D$13,'Facturas y gastos'!$A$10:$A$13,A30)))</f>
        <v>1.8180096584907146</v>
      </c>
      <c r="L30" s="8">
        <f>IF(J30="","",IF(SUMIFS('Facturas y gastos'!$D$10:$D$13,'Facturas y gastos'!$A$10:$A$13,A30)=0,"",J30*SUMIFS('Facturas y gastos'!$H$10:$H$13,'Facturas y gastos'!$A$10:$A$13,A30)/SUMIFS('Facturas y gastos'!$D$10:$D$13,'Facturas y gastos'!$A$10:$A$13,A30)))</f>
        <v>5.4539887317608322</v>
      </c>
      <c r="M30" s="8">
        <f>IF(J30="","",IF(SUMIFS('Facturas y gastos'!$D$10:$D$13,'Facturas y gastos'!$A$10:$A$13,A30)=0,"",J30*SUMIFS('Facturas y gastos'!$I$10:$I$13,'Facturas y gastos'!$A$10:$A$13,A30)/SUMIFS('Facturas y gastos'!$D$10:$D$13,'Facturas y gastos'!$A$10:$A$13,A30)))</f>
        <v>31.792531935974861</v>
      </c>
      <c r="N30" s="8">
        <f>IF(J30="","",IF(SUMIFS('Facturas y gastos'!$D$10:$D$13,'Facturas y gastos'!$A$10:$A$13,A30)=0,"",J30*SUMIFS('Facturas y gastos'!$J$10:$J$13,'Facturas y gastos'!$A$10:$A$13,A30)/SUMIFS('Facturas y gastos'!$D$10:$D$13,'Facturas y gastos'!$A$10:$A$13,A30)))</f>
        <v>0</v>
      </c>
      <c r="O30" s="8">
        <f t="shared" si="0"/>
        <v>217.22851100924495</v>
      </c>
      <c r="P30" s="8" t="str">
        <f>IF(OR(O30="",'Facturas y gastos'!$B$24="",'Facturas y gastos'!$B$45&lt;&gt;"OK",SUM($O$8:$O$657)=0),"",O30*'Facturas y gastos'!$B$43/SUM($O$8:$O$657))</f>
        <v/>
      </c>
      <c r="Q30" s="8" t="str">
        <f>IF(OR(O30="",'Facturas y gastos'!$B$5="",P30=""),"",O30*'Facturas y gastos'!$B$5+P30)</f>
        <v/>
      </c>
      <c r="R30" s="8" t="str">
        <f t="shared" si="1"/>
        <v/>
      </c>
    </row>
    <row r="31" spans="1:20">
      <c r="A31" s="25" t="s">
        <v>58</v>
      </c>
      <c r="B31" s="25">
        <v>24</v>
      </c>
      <c r="C31" s="25" t="s">
        <v>136</v>
      </c>
      <c r="D31" s="25" t="s">
        <v>137</v>
      </c>
      <c r="E31" s="25" t="s">
        <v>108</v>
      </c>
      <c r="F31" s="27">
        <v>120</v>
      </c>
      <c r="G31" s="27">
        <v>5</v>
      </c>
      <c r="H31" s="29">
        <v>0.93</v>
      </c>
      <c r="I31" s="29">
        <v>111.6</v>
      </c>
      <c r="J31" s="8">
        <f>IF(OR(A31="",I31=""),"",IF(SUMIFS($I$8:$I$657,$A$8:$A$657,A31)=0,"",I31*SUMIFS('Facturas y gastos'!$D$10:$D$13,'Facturas y gastos'!$A$10:$A$13,A31)/SUMIFS($I$8:$I$657,$A$8:$A$657,A31)))</f>
        <v>111.59999999999998</v>
      </c>
      <c r="K31" s="8">
        <f>IF(J31="","",IF(SUMIFS('Facturas y gastos'!$D$10:$D$13,'Facturas y gastos'!$A$10:$A$13,A31)=0,"",J31*SUMIFS('Facturas y gastos'!$G$10:$G$13,'Facturas y gastos'!$A$10:$A$13,A31)/SUMIFS('Facturas y gastos'!$D$10:$D$13,'Facturas y gastos'!$A$10:$A$13,A31)))</f>
        <v>1.1160059289744979</v>
      </c>
      <c r="L31" s="8">
        <f>IF(J31="","",IF(SUMIFS('Facturas y gastos'!$D$10:$D$13,'Facturas y gastos'!$A$10:$A$13,A31)=0,"",J31*SUMIFS('Facturas y gastos'!$H$10:$H$13,'Facturas y gastos'!$A$10:$A$13,A31)/SUMIFS('Facturas y gastos'!$D$10:$D$13,'Facturas y gastos'!$A$10:$A$13,A31)))</f>
        <v>3.3479930828630851</v>
      </c>
      <c r="M31" s="8">
        <f>IF(J31="","",IF(SUMIFS('Facturas y gastos'!$D$10:$D$13,'Facturas y gastos'!$A$10:$A$13,A31)=0,"",J31*SUMIFS('Facturas y gastos'!$I$10:$I$13,'Facturas y gastos'!$A$10:$A$13,A31)/SUMIFS('Facturas y gastos'!$D$10:$D$13,'Facturas y gastos'!$A$10:$A$13,A31)))</f>
        <v>19.516207723073677</v>
      </c>
      <c r="N31" s="8">
        <f>IF(J31="","",IF(SUMIFS('Facturas y gastos'!$D$10:$D$13,'Facturas y gastos'!$A$10:$A$13,A31)=0,"",J31*SUMIFS('Facturas y gastos'!$J$10:$J$13,'Facturas y gastos'!$A$10:$A$13,A31)/SUMIFS('Facturas y gastos'!$D$10:$D$13,'Facturas y gastos'!$A$10:$A$13,A31)))</f>
        <v>0</v>
      </c>
      <c r="O31" s="8">
        <f t="shared" si="0"/>
        <v>133.34819487696222</v>
      </c>
      <c r="P31" s="8" t="str">
        <f>IF(OR(O31="",'Facturas y gastos'!$B$24="",'Facturas y gastos'!$B$45&lt;&gt;"OK",SUM($O$8:$O$657)=0),"",O31*'Facturas y gastos'!$B$43/SUM($O$8:$O$657))</f>
        <v/>
      </c>
      <c r="Q31" s="8" t="str">
        <f>IF(OR(O31="",'Facturas y gastos'!$B$5="",P31=""),"",O31*'Facturas y gastos'!$B$5+P31)</f>
        <v/>
      </c>
      <c r="R31" s="8" t="str">
        <f t="shared" si="1"/>
        <v/>
      </c>
    </row>
    <row r="32" spans="1:20">
      <c r="A32" s="25" t="s">
        <v>58</v>
      </c>
      <c r="B32" s="25">
        <v>25</v>
      </c>
      <c r="C32" s="25" t="s">
        <v>138</v>
      </c>
      <c r="D32" s="25" t="s">
        <v>137</v>
      </c>
      <c r="E32" s="25" t="s">
        <v>108</v>
      </c>
      <c r="F32" s="27">
        <v>180</v>
      </c>
      <c r="G32" s="27">
        <v>5</v>
      </c>
      <c r="H32" s="29">
        <v>0.76</v>
      </c>
      <c r="I32" s="29">
        <v>136.80000000000001</v>
      </c>
      <c r="J32" s="8">
        <f>IF(OR(A32="",I32=""),"",IF(SUMIFS($I$8:$I$657,$A$8:$A$657,A32)=0,"",I32*SUMIFS('Facturas y gastos'!$D$10:$D$13,'Facturas y gastos'!$A$10:$A$13,A32)/SUMIFS($I$8:$I$657,$A$8:$A$657,A32)))</f>
        <v>136.79999999999998</v>
      </c>
      <c r="K32" s="8">
        <f>IF(J32="","",IF(SUMIFS('Facturas y gastos'!$D$10:$D$13,'Facturas y gastos'!$A$10:$A$13,A32)=0,"",J32*SUMIFS('Facturas y gastos'!$G$10:$G$13,'Facturas y gastos'!$A$10:$A$13,A32)/SUMIFS('Facturas y gastos'!$D$10:$D$13,'Facturas y gastos'!$A$10:$A$13,A32)))</f>
        <v>1.3680072677751911</v>
      </c>
      <c r="L32" s="8">
        <f>IF(J32="","",IF(SUMIFS('Facturas y gastos'!$D$10:$D$13,'Facturas y gastos'!$A$10:$A$13,A32)=0,"",J32*SUMIFS('Facturas y gastos'!$H$10:$H$13,'Facturas y gastos'!$A$10:$A$13,A32)/SUMIFS('Facturas y gastos'!$D$10:$D$13,'Facturas y gastos'!$A$10:$A$13,A32)))</f>
        <v>4.1039915209289424</v>
      </c>
      <c r="M32" s="8">
        <f>IF(J32="","",IF(SUMIFS('Facturas y gastos'!$D$10:$D$13,'Facturas y gastos'!$A$10:$A$13,A32)=0,"",J32*SUMIFS('Facturas y gastos'!$I$10:$I$13,'Facturas y gastos'!$A$10:$A$13,A32)/SUMIFS('Facturas y gastos'!$D$10:$D$13,'Facturas y gastos'!$A$10:$A$13,A32)))</f>
        <v>23.92309333796128</v>
      </c>
      <c r="N32" s="8">
        <f>IF(J32="","",IF(SUMIFS('Facturas y gastos'!$D$10:$D$13,'Facturas y gastos'!$A$10:$A$13,A32)=0,"",J32*SUMIFS('Facturas y gastos'!$J$10:$J$13,'Facturas y gastos'!$A$10:$A$13,A32)/SUMIFS('Facturas y gastos'!$D$10:$D$13,'Facturas y gastos'!$A$10:$A$13,A32)))</f>
        <v>0</v>
      </c>
      <c r="O32" s="8">
        <f t="shared" si="0"/>
        <v>163.459077591115</v>
      </c>
      <c r="P32" s="8" t="str">
        <f>IF(OR(O32="",'Facturas y gastos'!$B$24="",'Facturas y gastos'!$B$45&lt;&gt;"OK",SUM($O$8:$O$657)=0),"",O32*'Facturas y gastos'!$B$43/SUM($O$8:$O$657))</f>
        <v/>
      </c>
      <c r="Q32" s="8" t="str">
        <f>IF(OR(O32="",'Facturas y gastos'!$B$5="",P32=""),"",O32*'Facturas y gastos'!$B$5+P32)</f>
        <v/>
      </c>
      <c r="R32" s="8" t="str">
        <f t="shared" si="1"/>
        <v/>
      </c>
    </row>
    <row r="33" spans="1:18">
      <c r="A33" s="25" t="s">
        <v>58</v>
      </c>
      <c r="B33" s="25">
        <v>26</v>
      </c>
      <c r="C33" s="25" t="s">
        <v>139</v>
      </c>
      <c r="D33" s="25" t="s">
        <v>140</v>
      </c>
      <c r="E33" s="25" t="s">
        <v>108</v>
      </c>
      <c r="F33" s="27">
        <v>180</v>
      </c>
      <c r="G33" s="27">
        <v>5</v>
      </c>
      <c r="H33" s="29">
        <v>0.76</v>
      </c>
      <c r="I33" s="29">
        <v>136.80000000000001</v>
      </c>
      <c r="J33" s="8">
        <f>IF(OR(A33="",I33=""),"",IF(SUMIFS($I$8:$I$657,$A$8:$A$657,A33)=0,"",I33*SUMIFS('Facturas y gastos'!$D$10:$D$13,'Facturas y gastos'!$A$10:$A$13,A33)/SUMIFS($I$8:$I$657,$A$8:$A$657,A33)))</f>
        <v>136.79999999999998</v>
      </c>
      <c r="K33" s="8">
        <f>IF(J33="","",IF(SUMIFS('Facturas y gastos'!$D$10:$D$13,'Facturas y gastos'!$A$10:$A$13,A33)=0,"",J33*SUMIFS('Facturas y gastos'!$G$10:$G$13,'Facturas y gastos'!$A$10:$A$13,A33)/SUMIFS('Facturas y gastos'!$D$10:$D$13,'Facturas y gastos'!$A$10:$A$13,A33)))</f>
        <v>1.3680072677751911</v>
      </c>
      <c r="L33" s="8">
        <f>IF(J33="","",IF(SUMIFS('Facturas y gastos'!$D$10:$D$13,'Facturas y gastos'!$A$10:$A$13,A33)=0,"",J33*SUMIFS('Facturas y gastos'!$H$10:$H$13,'Facturas y gastos'!$A$10:$A$13,A33)/SUMIFS('Facturas y gastos'!$D$10:$D$13,'Facturas y gastos'!$A$10:$A$13,A33)))</f>
        <v>4.1039915209289424</v>
      </c>
      <c r="M33" s="8">
        <f>IF(J33="","",IF(SUMIFS('Facturas y gastos'!$D$10:$D$13,'Facturas y gastos'!$A$10:$A$13,A33)=0,"",J33*SUMIFS('Facturas y gastos'!$I$10:$I$13,'Facturas y gastos'!$A$10:$A$13,A33)/SUMIFS('Facturas y gastos'!$D$10:$D$13,'Facturas y gastos'!$A$10:$A$13,A33)))</f>
        <v>23.92309333796128</v>
      </c>
      <c r="N33" s="8">
        <f>IF(J33="","",IF(SUMIFS('Facturas y gastos'!$D$10:$D$13,'Facturas y gastos'!$A$10:$A$13,A33)=0,"",J33*SUMIFS('Facturas y gastos'!$J$10:$J$13,'Facturas y gastos'!$A$10:$A$13,A33)/SUMIFS('Facturas y gastos'!$D$10:$D$13,'Facturas y gastos'!$A$10:$A$13,A33)))</f>
        <v>0</v>
      </c>
      <c r="O33" s="8">
        <f t="shared" si="0"/>
        <v>163.459077591115</v>
      </c>
      <c r="P33" s="8" t="str">
        <f>IF(OR(O33="",'Facturas y gastos'!$B$24="",'Facturas y gastos'!$B$45&lt;&gt;"OK",SUM($O$8:$O$657)=0),"",O33*'Facturas y gastos'!$B$43/SUM($O$8:$O$657))</f>
        <v/>
      </c>
      <c r="Q33" s="8" t="str">
        <f>IF(OR(O33="",'Facturas y gastos'!$B$5="",P33=""),"",O33*'Facturas y gastos'!$B$5+P33)</f>
        <v/>
      </c>
      <c r="R33" s="8" t="str">
        <f t="shared" si="1"/>
        <v/>
      </c>
    </row>
    <row r="34" spans="1:18">
      <c r="A34" s="25" t="s">
        <v>58</v>
      </c>
      <c r="B34" s="25">
        <v>27</v>
      </c>
      <c r="C34" s="25" t="s">
        <v>141</v>
      </c>
      <c r="D34" s="25" t="s">
        <v>137</v>
      </c>
      <c r="E34" s="25" t="s">
        <v>108</v>
      </c>
      <c r="F34" s="27">
        <v>120</v>
      </c>
      <c r="G34" s="27">
        <v>5</v>
      </c>
      <c r="H34" s="29">
        <v>0.93</v>
      </c>
      <c r="I34" s="29">
        <v>111.6</v>
      </c>
      <c r="J34" s="8">
        <f>IF(OR(A34="",I34=""),"",IF(SUMIFS($I$8:$I$657,$A$8:$A$657,A34)=0,"",I34*SUMIFS('Facturas y gastos'!$D$10:$D$13,'Facturas y gastos'!$A$10:$A$13,A34)/SUMIFS($I$8:$I$657,$A$8:$A$657,A34)))</f>
        <v>111.59999999999998</v>
      </c>
      <c r="K34" s="8">
        <f>IF(J34="","",IF(SUMIFS('Facturas y gastos'!$D$10:$D$13,'Facturas y gastos'!$A$10:$A$13,A34)=0,"",J34*SUMIFS('Facturas y gastos'!$G$10:$G$13,'Facturas y gastos'!$A$10:$A$13,A34)/SUMIFS('Facturas y gastos'!$D$10:$D$13,'Facturas y gastos'!$A$10:$A$13,A34)))</f>
        <v>1.1160059289744979</v>
      </c>
      <c r="L34" s="8">
        <f>IF(J34="","",IF(SUMIFS('Facturas y gastos'!$D$10:$D$13,'Facturas y gastos'!$A$10:$A$13,A34)=0,"",J34*SUMIFS('Facturas y gastos'!$H$10:$H$13,'Facturas y gastos'!$A$10:$A$13,A34)/SUMIFS('Facturas y gastos'!$D$10:$D$13,'Facturas y gastos'!$A$10:$A$13,A34)))</f>
        <v>3.3479930828630851</v>
      </c>
      <c r="M34" s="8">
        <f>IF(J34="","",IF(SUMIFS('Facturas y gastos'!$D$10:$D$13,'Facturas y gastos'!$A$10:$A$13,A34)=0,"",J34*SUMIFS('Facturas y gastos'!$I$10:$I$13,'Facturas y gastos'!$A$10:$A$13,A34)/SUMIFS('Facturas y gastos'!$D$10:$D$13,'Facturas y gastos'!$A$10:$A$13,A34)))</f>
        <v>19.516207723073677</v>
      </c>
      <c r="N34" s="8">
        <f>IF(J34="","",IF(SUMIFS('Facturas y gastos'!$D$10:$D$13,'Facturas y gastos'!$A$10:$A$13,A34)=0,"",J34*SUMIFS('Facturas y gastos'!$J$10:$J$13,'Facturas y gastos'!$A$10:$A$13,A34)/SUMIFS('Facturas y gastos'!$D$10:$D$13,'Facturas y gastos'!$A$10:$A$13,A34)))</f>
        <v>0</v>
      </c>
      <c r="O34" s="8">
        <f t="shared" si="0"/>
        <v>133.34819487696222</v>
      </c>
      <c r="P34" s="8" t="str">
        <f>IF(OR(O34="",'Facturas y gastos'!$B$24="",'Facturas y gastos'!$B$45&lt;&gt;"OK",SUM($O$8:$O$657)=0),"",O34*'Facturas y gastos'!$B$43/SUM($O$8:$O$657))</f>
        <v/>
      </c>
      <c r="Q34" s="8" t="str">
        <f>IF(OR(O34="",'Facturas y gastos'!$B$5="",P34=""),"",O34*'Facturas y gastos'!$B$5+P34)</f>
        <v/>
      </c>
      <c r="R34" s="8" t="str">
        <f t="shared" si="1"/>
        <v/>
      </c>
    </row>
    <row r="35" spans="1:18">
      <c r="A35" s="25" t="s">
        <v>58</v>
      </c>
      <c r="B35" s="25">
        <v>28</v>
      </c>
      <c r="C35" s="25" t="s">
        <v>142</v>
      </c>
      <c r="D35" s="25" t="s">
        <v>137</v>
      </c>
      <c r="E35" s="25" t="s">
        <v>108</v>
      </c>
      <c r="F35" s="27">
        <v>180</v>
      </c>
      <c r="G35" s="27">
        <v>5</v>
      </c>
      <c r="H35" s="29">
        <v>0.76</v>
      </c>
      <c r="I35" s="29">
        <v>136.80000000000001</v>
      </c>
      <c r="J35" s="8">
        <f>IF(OR(A35="",I35=""),"",IF(SUMIFS($I$8:$I$657,$A$8:$A$657,A35)=0,"",I35*SUMIFS('Facturas y gastos'!$D$10:$D$13,'Facturas y gastos'!$A$10:$A$13,A35)/SUMIFS($I$8:$I$657,$A$8:$A$657,A35)))</f>
        <v>136.79999999999998</v>
      </c>
      <c r="K35" s="8">
        <f>IF(J35="","",IF(SUMIFS('Facturas y gastos'!$D$10:$D$13,'Facturas y gastos'!$A$10:$A$13,A35)=0,"",J35*SUMIFS('Facturas y gastos'!$G$10:$G$13,'Facturas y gastos'!$A$10:$A$13,A35)/SUMIFS('Facturas y gastos'!$D$10:$D$13,'Facturas y gastos'!$A$10:$A$13,A35)))</f>
        <v>1.3680072677751911</v>
      </c>
      <c r="L35" s="8">
        <f>IF(J35="","",IF(SUMIFS('Facturas y gastos'!$D$10:$D$13,'Facturas y gastos'!$A$10:$A$13,A35)=0,"",J35*SUMIFS('Facturas y gastos'!$H$10:$H$13,'Facturas y gastos'!$A$10:$A$13,A35)/SUMIFS('Facturas y gastos'!$D$10:$D$13,'Facturas y gastos'!$A$10:$A$13,A35)))</f>
        <v>4.1039915209289424</v>
      </c>
      <c r="M35" s="8">
        <f>IF(J35="","",IF(SUMIFS('Facturas y gastos'!$D$10:$D$13,'Facturas y gastos'!$A$10:$A$13,A35)=0,"",J35*SUMIFS('Facturas y gastos'!$I$10:$I$13,'Facturas y gastos'!$A$10:$A$13,A35)/SUMIFS('Facturas y gastos'!$D$10:$D$13,'Facturas y gastos'!$A$10:$A$13,A35)))</f>
        <v>23.92309333796128</v>
      </c>
      <c r="N35" s="8">
        <f>IF(J35="","",IF(SUMIFS('Facturas y gastos'!$D$10:$D$13,'Facturas y gastos'!$A$10:$A$13,A35)=0,"",J35*SUMIFS('Facturas y gastos'!$J$10:$J$13,'Facturas y gastos'!$A$10:$A$13,A35)/SUMIFS('Facturas y gastos'!$D$10:$D$13,'Facturas y gastos'!$A$10:$A$13,A35)))</f>
        <v>0</v>
      </c>
      <c r="O35" s="8">
        <f t="shared" si="0"/>
        <v>163.459077591115</v>
      </c>
      <c r="P35" s="8" t="str">
        <f>IF(OR(O35="",'Facturas y gastos'!$B$24="",'Facturas y gastos'!$B$45&lt;&gt;"OK",SUM($O$8:$O$657)=0),"",O35*'Facturas y gastos'!$B$43/SUM($O$8:$O$657))</f>
        <v/>
      </c>
      <c r="Q35" s="8" t="str">
        <f>IF(OR(O35="",'Facturas y gastos'!$B$5="",P35=""),"",O35*'Facturas y gastos'!$B$5+P35)</f>
        <v/>
      </c>
      <c r="R35" s="8" t="str">
        <f t="shared" si="1"/>
        <v/>
      </c>
    </row>
    <row r="36" spans="1:18">
      <c r="A36" s="25" t="s">
        <v>58</v>
      </c>
      <c r="B36" s="25">
        <v>29</v>
      </c>
      <c r="C36" s="25" t="s">
        <v>143</v>
      </c>
      <c r="D36" s="25" t="s">
        <v>140</v>
      </c>
      <c r="E36" s="25" t="s">
        <v>108</v>
      </c>
      <c r="F36" s="27">
        <v>180</v>
      </c>
      <c r="G36" s="27">
        <v>5</v>
      </c>
      <c r="H36" s="29">
        <v>0.76</v>
      </c>
      <c r="I36" s="29">
        <v>136.80000000000001</v>
      </c>
      <c r="J36" s="8">
        <f>IF(OR(A36="",I36=""),"",IF(SUMIFS($I$8:$I$657,$A$8:$A$657,A36)=0,"",I36*SUMIFS('Facturas y gastos'!$D$10:$D$13,'Facturas y gastos'!$A$10:$A$13,A36)/SUMIFS($I$8:$I$657,$A$8:$A$657,A36)))</f>
        <v>136.79999999999998</v>
      </c>
      <c r="K36" s="8">
        <f>IF(J36="","",IF(SUMIFS('Facturas y gastos'!$D$10:$D$13,'Facturas y gastos'!$A$10:$A$13,A36)=0,"",J36*SUMIFS('Facturas y gastos'!$G$10:$G$13,'Facturas y gastos'!$A$10:$A$13,A36)/SUMIFS('Facturas y gastos'!$D$10:$D$13,'Facturas y gastos'!$A$10:$A$13,A36)))</f>
        <v>1.3680072677751911</v>
      </c>
      <c r="L36" s="8">
        <f>IF(J36="","",IF(SUMIFS('Facturas y gastos'!$D$10:$D$13,'Facturas y gastos'!$A$10:$A$13,A36)=0,"",J36*SUMIFS('Facturas y gastos'!$H$10:$H$13,'Facturas y gastos'!$A$10:$A$13,A36)/SUMIFS('Facturas y gastos'!$D$10:$D$13,'Facturas y gastos'!$A$10:$A$13,A36)))</f>
        <v>4.1039915209289424</v>
      </c>
      <c r="M36" s="8">
        <f>IF(J36="","",IF(SUMIFS('Facturas y gastos'!$D$10:$D$13,'Facturas y gastos'!$A$10:$A$13,A36)=0,"",J36*SUMIFS('Facturas y gastos'!$I$10:$I$13,'Facturas y gastos'!$A$10:$A$13,A36)/SUMIFS('Facturas y gastos'!$D$10:$D$13,'Facturas y gastos'!$A$10:$A$13,A36)))</f>
        <v>23.92309333796128</v>
      </c>
      <c r="N36" s="8">
        <f>IF(J36="","",IF(SUMIFS('Facturas y gastos'!$D$10:$D$13,'Facturas y gastos'!$A$10:$A$13,A36)=0,"",J36*SUMIFS('Facturas y gastos'!$J$10:$J$13,'Facturas y gastos'!$A$10:$A$13,A36)/SUMIFS('Facturas y gastos'!$D$10:$D$13,'Facturas y gastos'!$A$10:$A$13,A36)))</f>
        <v>0</v>
      </c>
      <c r="O36" s="8">
        <f t="shared" si="0"/>
        <v>163.459077591115</v>
      </c>
      <c r="P36" s="8" t="str">
        <f>IF(OR(O36="",'Facturas y gastos'!$B$24="",'Facturas y gastos'!$B$45&lt;&gt;"OK",SUM($O$8:$O$657)=0),"",O36*'Facturas y gastos'!$B$43/SUM($O$8:$O$657))</f>
        <v/>
      </c>
      <c r="Q36" s="8" t="str">
        <f>IF(OR(O36="",'Facturas y gastos'!$B$5="",P36=""),"",O36*'Facturas y gastos'!$B$5+P36)</f>
        <v/>
      </c>
      <c r="R36" s="8" t="str">
        <f t="shared" si="1"/>
        <v/>
      </c>
    </row>
    <row r="37" spans="1:18">
      <c r="A37" s="25" t="s">
        <v>58</v>
      </c>
      <c r="B37" s="25">
        <v>30</v>
      </c>
      <c r="C37" s="25" t="s">
        <v>144</v>
      </c>
      <c r="D37" s="25" t="s">
        <v>137</v>
      </c>
      <c r="E37" s="25" t="s">
        <v>108</v>
      </c>
      <c r="F37" s="27">
        <v>112</v>
      </c>
      <c r="G37" s="27">
        <v>4</v>
      </c>
      <c r="H37" s="29">
        <v>0.93</v>
      </c>
      <c r="I37" s="29">
        <v>104.16</v>
      </c>
      <c r="J37" s="8">
        <f>IF(OR(A37="",I37=""),"",IF(SUMIFS($I$8:$I$657,$A$8:$A$657,A37)=0,"",I37*SUMIFS('Facturas y gastos'!$D$10:$D$13,'Facturas y gastos'!$A$10:$A$13,A37)/SUMIFS($I$8:$I$657,$A$8:$A$657,A37)))</f>
        <v>104.15999999999998</v>
      </c>
      <c r="K37" s="8">
        <f>IF(J37="","",IF(SUMIFS('Facturas y gastos'!$D$10:$D$13,'Facturas y gastos'!$A$10:$A$13,A37)=0,"",J37*SUMIFS('Facturas y gastos'!$G$10:$G$13,'Facturas y gastos'!$A$10:$A$13,A37)/SUMIFS('Facturas y gastos'!$D$10:$D$13,'Facturas y gastos'!$A$10:$A$13,A37)))</f>
        <v>1.0416055337095314</v>
      </c>
      <c r="L37" s="8">
        <f>IF(J37="","",IF(SUMIFS('Facturas y gastos'!$D$10:$D$13,'Facturas y gastos'!$A$10:$A$13,A37)=0,"",J37*SUMIFS('Facturas y gastos'!$H$10:$H$13,'Facturas y gastos'!$A$10:$A$13,A37)/SUMIFS('Facturas y gastos'!$D$10:$D$13,'Facturas y gastos'!$A$10:$A$13,A37)))</f>
        <v>3.1247935440055459</v>
      </c>
      <c r="M37" s="8">
        <f>IF(J37="","",IF(SUMIFS('Facturas y gastos'!$D$10:$D$13,'Facturas y gastos'!$A$10:$A$13,A37)=0,"",J37*SUMIFS('Facturas y gastos'!$I$10:$I$13,'Facturas y gastos'!$A$10:$A$13,A37)/SUMIFS('Facturas y gastos'!$D$10:$D$13,'Facturas y gastos'!$A$10:$A$13,A37)))</f>
        <v>18.215127208202098</v>
      </c>
      <c r="N37" s="8">
        <f>IF(J37="","",IF(SUMIFS('Facturas y gastos'!$D$10:$D$13,'Facturas y gastos'!$A$10:$A$13,A37)=0,"",J37*SUMIFS('Facturas y gastos'!$J$10:$J$13,'Facturas y gastos'!$A$10:$A$13,A37)/SUMIFS('Facturas y gastos'!$D$10:$D$13,'Facturas y gastos'!$A$10:$A$13,A37)))</f>
        <v>0</v>
      </c>
      <c r="O37" s="8">
        <f t="shared" si="0"/>
        <v>124.45831521849809</v>
      </c>
      <c r="P37" s="8" t="str">
        <f>IF(OR(O37="",'Facturas y gastos'!$B$24="",'Facturas y gastos'!$B$45&lt;&gt;"OK",SUM($O$8:$O$657)=0),"",O37*'Facturas y gastos'!$B$43/SUM($O$8:$O$657))</f>
        <v/>
      </c>
      <c r="Q37" s="8" t="str">
        <f>IF(OR(O37="",'Facturas y gastos'!$B$5="",P37=""),"",O37*'Facturas y gastos'!$B$5+P37)</f>
        <v/>
      </c>
      <c r="R37" s="8" t="str">
        <f t="shared" si="1"/>
        <v/>
      </c>
    </row>
    <row r="38" spans="1:18">
      <c r="A38" s="25" t="s">
        <v>58</v>
      </c>
      <c r="B38" s="25">
        <v>31</v>
      </c>
      <c r="C38" s="25" t="s">
        <v>145</v>
      </c>
      <c r="D38" s="25" t="s">
        <v>146</v>
      </c>
      <c r="E38" s="25" t="s">
        <v>108</v>
      </c>
      <c r="F38" s="27">
        <v>20</v>
      </c>
      <c r="G38" s="27">
        <v>10</v>
      </c>
      <c r="H38" s="29">
        <v>11.47</v>
      </c>
      <c r="I38" s="29">
        <v>229.4</v>
      </c>
      <c r="J38" s="8">
        <f>IF(OR(A38="",I38=""),"",IF(SUMIFS($I$8:$I$657,$A$8:$A$657,A38)=0,"",I38*SUMIFS('Facturas y gastos'!$D$10:$D$13,'Facturas y gastos'!$A$10:$A$13,A38)/SUMIFS($I$8:$I$657,$A$8:$A$657,A38)))</f>
        <v>229.39999999999995</v>
      </c>
      <c r="K38" s="8">
        <f>IF(J38="","",IF(SUMIFS('Facturas y gastos'!$D$10:$D$13,'Facturas y gastos'!$A$10:$A$13,A38)=0,"",J38*SUMIFS('Facturas y gastos'!$G$10:$G$13,'Facturas y gastos'!$A$10:$A$13,A38)/SUMIFS('Facturas y gastos'!$D$10:$D$13,'Facturas y gastos'!$A$10:$A$13,A38)))</f>
        <v>2.2940121873364681</v>
      </c>
      <c r="L38" s="8">
        <f>IF(J38="","",IF(SUMIFS('Facturas y gastos'!$D$10:$D$13,'Facturas y gastos'!$A$10:$A$13,A38)=0,"",J38*SUMIFS('Facturas y gastos'!$H$10:$H$13,'Facturas y gastos'!$A$10:$A$13,A38)/SUMIFS('Facturas y gastos'!$D$10:$D$13,'Facturas y gastos'!$A$10:$A$13,A38)))</f>
        <v>6.8819857814407852</v>
      </c>
      <c r="M38" s="8">
        <f>IF(J38="","",IF(SUMIFS('Facturas y gastos'!$D$10:$D$13,'Facturas y gastos'!$A$10:$A$13,A38)=0,"",J38*SUMIFS('Facturas y gastos'!$I$10:$I$13,'Facturas y gastos'!$A$10:$A$13,A38)/SUMIFS('Facturas y gastos'!$D$10:$D$13,'Facturas y gastos'!$A$10:$A$13,A38)))</f>
        <v>40.116649208540331</v>
      </c>
      <c r="N38" s="8">
        <f>IF(J38="","",IF(SUMIFS('Facturas y gastos'!$D$10:$D$13,'Facturas y gastos'!$A$10:$A$13,A38)=0,"",J38*SUMIFS('Facturas y gastos'!$J$10:$J$13,'Facturas y gastos'!$A$10:$A$13,A38)/SUMIFS('Facturas y gastos'!$D$10:$D$13,'Facturas y gastos'!$A$10:$A$13,A38)))</f>
        <v>0</v>
      </c>
      <c r="O38" s="8">
        <f t="shared" si="0"/>
        <v>274.1046228026446</v>
      </c>
      <c r="P38" s="8" t="str">
        <f>IF(OR(O38="",'Facturas y gastos'!$B$24="",'Facturas y gastos'!$B$45&lt;&gt;"OK",SUM($O$8:$O$657)=0),"",O38*'Facturas y gastos'!$B$43/SUM($O$8:$O$657))</f>
        <v/>
      </c>
      <c r="Q38" s="8" t="str">
        <f>IF(OR(O38="",'Facturas y gastos'!$B$5="",P38=""),"",O38*'Facturas y gastos'!$B$5+P38)</f>
        <v/>
      </c>
      <c r="R38" s="8" t="str">
        <f t="shared" si="1"/>
        <v/>
      </c>
    </row>
    <row r="39" spans="1:18">
      <c r="A39" s="25" t="s">
        <v>58</v>
      </c>
      <c r="B39" s="25">
        <v>32</v>
      </c>
      <c r="C39" s="25" t="s">
        <v>147</v>
      </c>
      <c r="D39" s="25" t="s">
        <v>148</v>
      </c>
      <c r="E39" s="25" t="s">
        <v>108</v>
      </c>
      <c r="F39" s="27">
        <v>20</v>
      </c>
      <c r="G39" s="27">
        <v>5</v>
      </c>
      <c r="H39" s="29">
        <v>8.2100000000000009</v>
      </c>
      <c r="I39" s="29">
        <v>164.18</v>
      </c>
      <c r="J39" s="8">
        <f>IF(OR(A39="",I39=""),"",IF(SUMIFS($I$8:$I$657,$A$8:$A$657,A39)=0,"",I39*SUMIFS('Facturas y gastos'!$D$10:$D$13,'Facturas y gastos'!$A$10:$A$13,A39)/SUMIFS($I$8:$I$657,$A$8:$A$657,A39)))</f>
        <v>164.17999999999998</v>
      </c>
      <c r="K39" s="8">
        <f>IF(J39="","",IF(SUMIFS('Facturas y gastos'!$D$10:$D$13,'Facturas y gastos'!$A$10:$A$13,A39)=0,"",J39*SUMIFS('Facturas y gastos'!$G$10:$G$13,'Facturas y gastos'!$A$10:$A$13,A39)/SUMIFS('Facturas y gastos'!$D$10:$D$13,'Facturas y gastos'!$A$10:$A$13,A39)))</f>
        <v>1.6418087223927693</v>
      </c>
      <c r="L39" s="8">
        <f>IF(J39="","",IF(SUMIFS('Facturas y gastos'!$D$10:$D$13,'Facturas y gastos'!$A$10:$A$13,A39)=0,"",J39*SUMIFS('Facturas y gastos'!$H$10:$H$13,'Facturas y gastos'!$A$10:$A$13,A39)/SUMIFS('Facturas y gastos'!$D$10:$D$13,'Facturas y gastos'!$A$10:$A$13,A39)))</f>
        <v>4.9253898238751006</v>
      </c>
      <c r="M39" s="8">
        <f>IF(J39="","",IF(SUMIFS('Facturas y gastos'!$D$10:$D$13,'Facturas y gastos'!$A$10:$A$13,A39)=0,"",J39*SUMIFS('Facturas y gastos'!$I$10:$I$13,'Facturas y gastos'!$A$10:$A$13,A39)/SUMIFS('Facturas y gastos'!$D$10:$D$13,'Facturas y gastos'!$A$10:$A$13,A39)))</f>
        <v>28.711209533819321</v>
      </c>
      <c r="N39" s="8">
        <f>IF(J39="","",IF(SUMIFS('Facturas y gastos'!$D$10:$D$13,'Facturas y gastos'!$A$10:$A$13,A39)=0,"",J39*SUMIFS('Facturas y gastos'!$J$10:$J$13,'Facturas y gastos'!$A$10:$A$13,A39)/SUMIFS('Facturas y gastos'!$D$10:$D$13,'Facturas y gastos'!$A$10:$A$13,A39)))</f>
        <v>0</v>
      </c>
      <c r="O39" s="8">
        <f t="shared" si="0"/>
        <v>196.17479063530163</v>
      </c>
      <c r="P39" s="8" t="str">
        <f>IF(OR(O39="",'Facturas y gastos'!$B$24="",'Facturas y gastos'!$B$45&lt;&gt;"OK",SUM($O$8:$O$657)=0),"",O39*'Facturas y gastos'!$B$43/SUM($O$8:$O$657))</f>
        <v/>
      </c>
      <c r="Q39" s="8" t="str">
        <f>IF(OR(O39="",'Facturas y gastos'!$B$5="",P39=""),"",O39*'Facturas y gastos'!$B$5+P39)</f>
        <v/>
      </c>
      <c r="R39" s="8" t="str">
        <f t="shared" si="1"/>
        <v/>
      </c>
    </row>
    <row r="40" spans="1:18">
      <c r="A40" s="25" t="s">
        <v>58</v>
      </c>
      <c r="B40" s="25">
        <v>33</v>
      </c>
      <c r="C40" s="25" t="s">
        <v>149</v>
      </c>
      <c r="D40" s="25" t="s">
        <v>148</v>
      </c>
      <c r="E40" s="25" t="s">
        <v>108</v>
      </c>
      <c r="F40" s="27">
        <v>20</v>
      </c>
      <c r="G40" s="27">
        <v>5</v>
      </c>
      <c r="H40" s="29">
        <v>8.66</v>
      </c>
      <c r="I40" s="29">
        <v>173.13</v>
      </c>
      <c r="J40" s="8">
        <f>IF(OR(A40="",I40=""),"",IF(SUMIFS($I$8:$I$657,$A$8:$A$657,A40)=0,"",I40*SUMIFS('Facturas y gastos'!$D$10:$D$13,'Facturas y gastos'!$A$10:$A$13,A40)/SUMIFS($I$8:$I$657,$A$8:$A$657,A40)))</f>
        <v>173.12999999999997</v>
      </c>
      <c r="K40" s="8">
        <f>IF(J40="","",IF(SUMIFS('Facturas y gastos'!$D$10:$D$13,'Facturas y gastos'!$A$10:$A$13,A40)=0,"",J40*SUMIFS('Facturas y gastos'!$G$10:$G$13,'Facturas y gastos'!$A$10:$A$13,A40)/SUMIFS('Facturas y gastos'!$D$10:$D$13,'Facturas y gastos'!$A$10:$A$13,A40)))</f>
        <v>1.7313091978795234</v>
      </c>
      <c r="L40" s="8">
        <f>IF(J40="","",IF(SUMIFS('Facturas y gastos'!$D$10:$D$13,'Facturas y gastos'!$A$10:$A$13,A40)=0,"",J40*SUMIFS('Facturas y gastos'!$H$10:$H$13,'Facturas y gastos'!$A$10:$A$13,A40)/SUMIFS('Facturas y gastos'!$D$10:$D$13,'Facturas y gastos'!$A$10:$A$13,A40)))</f>
        <v>5.1938892691405538</v>
      </c>
      <c r="M40" s="8">
        <f>IF(J40="","",IF(SUMIFS('Facturas y gastos'!$D$10:$D$13,'Facturas y gastos'!$A$10:$A$13,A40)=0,"",J40*SUMIFS('Facturas y gastos'!$I$10:$I$13,'Facturas y gastos'!$A$10:$A$13,A40)/SUMIFS('Facturas y gastos'!$D$10:$D$13,'Facturas y gastos'!$A$10:$A$13,A40)))</f>
        <v>30.276353432757578</v>
      </c>
      <c r="N40" s="8">
        <f>IF(J40="","",IF(SUMIFS('Facturas y gastos'!$D$10:$D$13,'Facturas y gastos'!$A$10:$A$13,A40)=0,"",J40*SUMIFS('Facturas y gastos'!$J$10:$J$13,'Facturas y gastos'!$A$10:$A$13,A40)/SUMIFS('Facturas y gastos'!$D$10:$D$13,'Facturas y gastos'!$A$10:$A$13,A40)))</f>
        <v>0</v>
      </c>
      <c r="O40" s="8">
        <f t="shared" si="0"/>
        <v>206.8689335040186</v>
      </c>
      <c r="P40" s="8" t="str">
        <f>IF(OR(O40="",'Facturas y gastos'!$B$24="",'Facturas y gastos'!$B$45&lt;&gt;"OK",SUM($O$8:$O$657)=0),"",O40*'Facturas y gastos'!$B$43/SUM($O$8:$O$657))</f>
        <v/>
      </c>
      <c r="Q40" s="8" t="str">
        <f>IF(OR(O40="",'Facturas y gastos'!$B$5="",P40=""),"",O40*'Facturas y gastos'!$B$5+P40)</f>
        <v/>
      </c>
      <c r="R40" s="8" t="str">
        <f t="shared" si="1"/>
        <v/>
      </c>
    </row>
    <row r="41" spans="1:18">
      <c r="A41" s="25" t="s">
        <v>58</v>
      </c>
      <c r="B41" s="25">
        <v>34</v>
      </c>
      <c r="C41" s="25" t="s">
        <v>150</v>
      </c>
      <c r="D41" s="25" t="s">
        <v>148</v>
      </c>
      <c r="E41" s="25" t="s">
        <v>108</v>
      </c>
      <c r="F41" s="27">
        <v>32</v>
      </c>
      <c r="G41" s="27">
        <v>8</v>
      </c>
      <c r="H41" s="29">
        <v>10.15</v>
      </c>
      <c r="I41" s="29">
        <v>324.77999999999997</v>
      </c>
      <c r="J41" s="8">
        <f>IF(OR(A41="",I41=""),"",IF(SUMIFS($I$8:$I$657,$A$8:$A$657,A41)=0,"",I41*SUMIFS('Facturas y gastos'!$D$10:$D$13,'Facturas y gastos'!$A$10:$A$13,A41)/SUMIFS($I$8:$I$657,$A$8:$A$657,A41)))</f>
        <v>324.77999999999992</v>
      </c>
      <c r="K41" s="8">
        <f>IF(J41="","",IF(SUMIFS('Facturas y gastos'!$D$10:$D$13,'Facturas y gastos'!$A$10:$A$13,A41)=0,"",J41*SUMIFS('Facturas y gastos'!$G$10:$G$13,'Facturas y gastos'!$A$10:$A$13,A41)/SUMIFS('Facturas y gastos'!$D$10:$D$13,'Facturas y gastos'!$A$10:$A$13,A41)))</f>
        <v>3.2478172545908368</v>
      </c>
      <c r="L41" s="8">
        <f>IF(J41="","",IF(SUMIFS('Facturas y gastos'!$D$10:$D$13,'Facturas y gastos'!$A$10:$A$13,A41)=0,"",J41*SUMIFS('Facturas y gastos'!$H$10:$H$13,'Facturas y gastos'!$A$10:$A$13,A41)/SUMIFS('Facturas y gastos'!$D$10:$D$13,'Facturas y gastos'!$A$10:$A$13,A41)))</f>
        <v>9.7433798696440199</v>
      </c>
      <c r="M41" s="8">
        <f>IF(J41="","",IF(SUMIFS('Facturas y gastos'!$D$10:$D$13,'Facturas y gastos'!$A$10:$A$13,A41)=0,"",J41*SUMIFS('Facturas y gastos'!$I$10:$I$13,'Facturas y gastos'!$A$10:$A$13,A41)/SUMIFS('Facturas y gastos'!$D$10:$D$13,'Facturas y gastos'!$A$10:$A$13,A41)))</f>
        <v>56.796361508063342</v>
      </c>
      <c r="N41" s="8">
        <f>IF(J41="","",IF(SUMIFS('Facturas y gastos'!$D$10:$D$13,'Facturas y gastos'!$A$10:$A$13,A41)=0,"",J41*SUMIFS('Facturas y gastos'!$J$10:$J$13,'Facturas y gastos'!$A$10:$A$13,A41)/SUMIFS('Facturas y gastos'!$D$10:$D$13,'Facturas y gastos'!$A$10:$A$13,A41)))</f>
        <v>0</v>
      </c>
      <c r="O41" s="8">
        <f t="shared" si="0"/>
        <v>388.07192412311645</v>
      </c>
      <c r="P41" s="8" t="str">
        <f>IF(OR(O41="",'Facturas y gastos'!$B$24="",'Facturas y gastos'!$B$45&lt;&gt;"OK",SUM($O$8:$O$657)=0),"",O41*'Facturas y gastos'!$B$43/SUM($O$8:$O$657))</f>
        <v/>
      </c>
      <c r="Q41" s="8" t="str">
        <f>IF(OR(O41="",'Facturas y gastos'!$B$5="",P41=""),"",O41*'Facturas y gastos'!$B$5+P41)</f>
        <v/>
      </c>
      <c r="R41" s="8" t="str">
        <f t="shared" si="1"/>
        <v/>
      </c>
    </row>
    <row r="42" spans="1:18">
      <c r="A42" s="25" t="s">
        <v>58</v>
      </c>
      <c r="B42" s="25">
        <v>35</v>
      </c>
      <c r="C42" s="25" t="s">
        <v>151</v>
      </c>
      <c r="D42" s="25" t="s">
        <v>148</v>
      </c>
      <c r="E42" s="25" t="s">
        <v>108</v>
      </c>
      <c r="F42" s="27">
        <v>20</v>
      </c>
      <c r="G42" s="27">
        <v>5</v>
      </c>
      <c r="H42" s="29">
        <v>10.15</v>
      </c>
      <c r="I42" s="29">
        <v>202.99</v>
      </c>
      <c r="J42" s="8">
        <f>IF(OR(A42="",I42=""),"",IF(SUMIFS($I$8:$I$657,$A$8:$A$657,A42)=0,"",I42*SUMIFS('Facturas y gastos'!$D$10:$D$13,'Facturas y gastos'!$A$10:$A$13,A42)/SUMIFS($I$8:$I$657,$A$8:$A$657,A42)))</f>
        <v>202.98999999999998</v>
      </c>
      <c r="K42" s="8">
        <f>IF(J42="","",IF(SUMIFS('Facturas y gastos'!$D$10:$D$13,'Facturas y gastos'!$A$10:$A$13,A42)=0,"",J42*SUMIFS('Facturas y gastos'!$G$10:$G$13,'Facturas y gastos'!$A$10:$A$13,A42)/SUMIFS('Facturas y gastos'!$D$10:$D$13,'Facturas y gastos'!$A$10:$A$13,A42)))</f>
        <v>2.0299107842520909</v>
      </c>
      <c r="L42" s="8">
        <f>IF(J42="","",IF(SUMIFS('Facturas y gastos'!$D$10:$D$13,'Facturas y gastos'!$A$10:$A$13,A42)=0,"",J42*SUMIFS('Facturas y gastos'!$H$10:$H$13,'Facturas y gastos'!$A$10:$A$13,A42)/SUMIFS('Facturas y gastos'!$D$10:$D$13,'Facturas y gastos'!$A$10:$A$13,A42)))</f>
        <v>6.0896874183725593</v>
      </c>
      <c r="M42" s="8">
        <f>IF(J42="","",IF(SUMIFS('Facturas y gastos'!$D$10:$D$13,'Facturas y gastos'!$A$10:$A$13,A42)=0,"",J42*SUMIFS('Facturas y gastos'!$I$10:$I$13,'Facturas y gastos'!$A$10:$A$13,A42)/SUMIFS('Facturas y gastos'!$D$10:$D$13,'Facturas y gastos'!$A$10:$A$13,A42)))</f>
        <v>35.49816313357281</v>
      </c>
      <c r="N42" s="8">
        <f>IF(J42="","",IF(SUMIFS('Facturas y gastos'!$D$10:$D$13,'Facturas y gastos'!$A$10:$A$13,A42)=0,"",J42*SUMIFS('Facturas y gastos'!$J$10:$J$13,'Facturas y gastos'!$A$10:$A$13,A42)/SUMIFS('Facturas y gastos'!$D$10:$D$13,'Facturas y gastos'!$A$10:$A$13,A42)))</f>
        <v>0</v>
      </c>
      <c r="O42" s="8">
        <f t="shared" si="0"/>
        <v>242.54793976769326</v>
      </c>
      <c r="P42" s="8" t="str">
        <f>IF(OR(O42="",'Facturas y gastos'!$B$24="",'Facturas y gastos'!$B$45&lt;&gt;"OK",SUM($O$8:$O$657)=0),"",O42*'Facturas y gastos'!$B$43/SUM($O$8:$O$657))</f>
        <v/>
      </c>
      <c r="Q42" s="8" t="str">
        <f>IF(OR(O42="",'Facturas y gastos'!$B$5="",P42=""),"",O42*'Facturas y gastos'!$B$5+P42)</f>
        <v/>
      </c>
      <c r="R42" s="8" t="str">
        <f t="shared" si="1"/>
        <v/>
      </c>
    </row>
    <row r="43" spans="1:18">
      <c r="A43" s="25" t="s">
        <v>58</v>
      </c>
      <c r="B43" s="25">
        <v>36</v>
      </c>
      <c r="C43" s="25" t="s">
        <v>152</v>
      </c>
      <c r="D43" s="25" t="s">
        <v>148</v>
      </c>
      <c r="E43" s="25" t="s">
        <v>108</v>
      </c>
      <c r="F43" s="27">
        <v>20</v>
      </c>
      <c r="G43" s="27">
        <v>5</v>
      </c>
      <c r="H43" s="29">
        <v>13.13</v>
      </c>
      <c r="I43" s="29">
        <v>262.69</v>
      </c>
      <c r="J43" s="8">
        <f>IF(OR(A43="",I43=""),"",IF(SUMIFS($I$8:$I$657,$A$8:$A$657,A43)=0,"",I43*SUMIFS('Facturas y gastos'!$D$10:$D$13,'Facturas y gastos'!$A$10:$A$13,A43)/SUMIFS($I$8:$I$657,$A$8:$A$657,A43)))</f>
        <v>262.69</v>
      </c>
      <c r="K43" s="8">
        <f>IF(J43="","",IF(SUMIFS('Facturas y gastos'!$D$10:$D$13,'Facturas y gastos'!$A$10:$A$13,A43)=0,"",J43*SUMIFS('Facturas y gastos'!$G$10:$G$13,'Facturas y gastos'!$A$10:$A$13,A43)/SUMIFS('Facturas y gastos'!$D$10:$D$13,'Facturas y gastos'!$A$10:$A$13,A43)))</f>
        <v>2.6269139559346857</v>
      </c>
      <c r="L43" s="8">
        <f>IF(J43="","",IF(SUMIFS('Facturas y gastos'!$D$10:$D$13,'Facturas y gastos'!$A$10:$A$13,A43)=0,"",J43*SUMIFS('Facturas y gastos'!$H$10:$H$13,'Facturas y gastos'!$A$10:$A$13,A43)/SUMIFS('Facturas y gastos'!$D$10:$D$13,'Facturas y gastos'!$A$10:$A$13,A43)))</f>
        <v>7.8806837180762006</v>
      </c>
      <c r="M43" s="8">
        <f>IF(J43="","",IF(SUMIFS('Facturas y gastos'!$D$10:$D$13,'Facturas y gastos'!$A$10:$A$13,A43)=0,"",J43*SUMIFS('Facturas y gastos'!$I$10:$I$13,'Facturas y gastos'!$A$10:$A$13,A43)/SUMIFS('Facturas y gastos'!$D$10:$D$13,'Facturas y gastos'!$A$10:$A$13,A43)))</f>
        <v>45.938285006937498</v>
      </c>
      <c r="N43" s="8">
        <f>IF(J43="","",IF(SUMIFS('Facturas y gastos'!$D$10:$D$13,'Facturas y gastos'!$A$10:$A$13,A43)=0,"",J43*SUMIFS('Facturas y gastos'!$J$10:$J$13,'Facturas y gastos'!$A$10:$A$13,A43)/SUMIFS('Facturas y gastos'!$D$10:$D$13,'Facturas y gastos'!$A$10:$A$13,A43)))</f>
        <v>0</v>
      </c>
      <c r="O43" s="8">
        <f t="shared" si="0"/>
        <v>313.88205476907905</v>
      </c>
      <c r="P43" s="8" t="str">
        <f>IF(OR(O43="",'Facturas y gastos'!$B$24="",'Facturas y gastos'!$B$45&lt;&gt;"OK",SUM($O$8:$O$657)=0),"",O43*'Facturas y gastos'!$B$43/SUM($O$8:$O$657))</f>
        <v/>
      </c>
      <c r="Q43" s="8" t="str">
        <f>IF(OR(O43="",'Facturas y gastos'!$B$5="",P43=""),"",O43*'Facturas y gastos'!$B$5+P43)</f>
        <v/>
      </c>
      <c r="R43" s="8" t="str">
        <f t="shared" si="1"/>
        <v/>
      </c>
    </row>
    <row r="44" spans="1:18">
      <c r="A44" s="25" t="s">
        <v>58</v>
      </c>
      <c r="B44" s="25">
        <v>37</v>
      </c>
      <c r="C44" s="25" t="s">
        <v>153</v>
      </c>
      <c r="D44" s="25" t="s">
        <v>148</v>
      </c>
      <c r="E44" s="25" t="s">
        <v>108</v>
      </c>
      <c r="F44" s="27">
        <v>15</v>
      </c>
      <c r="G44" s="27">
        <v>15</v>
      </c>
      <c r="H44" s="29">
        <v>21.64</v>
      </c>
      <c r="I44" s="29">
        <v>324.63</v>
      </c>
      <c r="J44" s="8">
        <f>IF(OR(A44="",I44=""),"",IF(SUMIFS($I$8:$I$657,$A$8:$A$657,A44)=0,"",I44*SUMIFS('Facturas y gastos'!$D$10:$D$13,'Facturas y gastos'!$A$10:$A$13,A44)/SUMIFS($I$8:$I$657,$A$8:$A$657,A44)))</f>
        <v>324.62999999999994</v>
      </c>
      <c r="K44" s="8">
        <f>IF(J44="","",IF(SUMIFS('Facturas y gastos'!$D$10:$D$13,'Facturas y gastos'!$A$10:$A$13,A44)=0,"",J44*SUMIFS('Facturas y gastos'!$G$10:$G$13,'Facturas y gastos'!$A$10:$A$13,A44)/SUMIFS('Facturas y gastos'!$D$10:$D$13,'Facturas y gastos'!$A$10:$A$13,A44)))</f>
        <v>3.2463172466217856</v>
      </c>
      <c r="L44" s="8">
        <f>IF(J44="","",IF(SUMIFS('Facturas y gastos'!$D$10:$D$13,'Facturas y gastos'!$A$10:$A$13,A44)=0,"",J44*SUMIFS('Facturas y gastos'!$H$10:$H$13,'Facturas y gastos'!$A$10:$A$13,A44)/SUMIFS('Facturas y gastos'!$D$10:$D$13,'Facturas y gastos'!$A$10:$A$13,A44)))</f>
        <v>9.7388798789412476</v>
      </c>
      <c r="M44" s="8">
        <f>IF(J44="","",IF(SUMIFS('Facturas y gastos'!$D$10:$D$13,'Facturas y gastos'!$A$10:$A$13,A44)=0,"",J44*SUMIFS('Facturas y gastos'!$I$10:$I$13,'Facturas y gastos'!$A$10:$A$13,A44)/SUMIFS('Facturas y gastos'!$D$10:$D$13,'Facturas y gastos'!$A$10:$A$13,A44)))</f>
        <v>56.770130046069958</v>
      </c>
      <c r="N44" s="8">
        <f>IF(J44="","",IF(SUMIFS('Facturas y gastos'!$D$10:$D$13,'Facturas y gastos'!$A$10:$A$13,A44)=0,"",J44*SUMIFS('Facturas y gastos'!$J$10:$J$13,'Facturas y gastos'!$A$10:$A$13,A44)/SUMIFS('Facturas y gastos'!$D$10:$D$13,'Facturas y gastos'!$A$10:$A$13,A44)))</f>
        <v>0</v>
      </c>
      <c r="O44" s="8">
        <f t="shared" si="0"/>
        <v>387.89269267838932</v>
      </c>
      <c r="P44" s="8" t="str">
        <f>IF(OR(O44="",'Facturas y gastos'!$B$24="",'Facturas y gastos'!$B$45&lt;&gt;"OK",SUM($O$8:$O$657)=0),"",O44*'Facturas y gastos'!$B$43/SUM($O$8:$O$657))</f>
        <v/>
      </c>
      <c r="Q44" s="8" t="str">
        <f>IF(OR(O44="",'Facturas y gastos'!$B$5="",P44=""),"",O44*'Facturas y gastos'!$B$5+P44)</f>
        <v/>
      </c>
      <c r="R44" s="8" t="str">
        <f t="shared" si="1"/>
        <v/>
      </c>
    </row>
    <row r="45" spans="1:18">
      <c r="A45" s="25" t="s">
        <v>58</v>
      </c>
      <c r="B45" s="25">
        <v>38</v>
      </c>
      <c r="C45" s="25" t="s">
        <v>154</v>
      </c>
      <c r="D45" s="25" t="s">
        <v>148</v>
      </c>
      <c r="E45" s="25" t="s">
        <v>108</v>
      </c>
      <c r="F45" s="27">
        <v>15</v>
      </c>
      <c r="G45" s="27">
        <v>5</v>
      </c>
      <c r="H45" s="29">
        <v>8.66</v>
      </c>
      <c r="I45" s="29">
        <v>129.85</v>
      </c>
      <c r="J45" s="8">
        <f>IF(OR(A45="",I45=""),"",IF(SUMIFS($I$8:$I$657,$A$8:$A$657,A45)=0,"",I45*SUMIFS('Facturas y gastos'!$D$10:$D$13,'Facturas y gastos'!$A$10:$A$13,A45)/SUMIFS($I$8:$I$657,$A$8:$A$657,A45)))</f>
        <v>129.84999999999997</v>
      </c>
      <c r="K45" s="8">
        <f>IF(J45="","",IF(SUMIFS('Facturas y gastos'!$D$10:$D$13,'Facturas y gastos'!$A$10:$A$13,A45)=0,"",J45*SUMIFS('Facturas y gastos'!$G$10:$G$13,'Facturas y gastos'!$A$10:$A$13,A45)/SUMIFS('Facturas y gastos'!$D$10:$D$13,'Facturas y gastos'!$A$10:$A$13,A45)))</f>
        <v>1.2985068985424599</v>
      </c>
      <c r="L45" s="8">
        <f>IF(J45="","",IF(SUMIFS('Facturas y gastos'!$D$10:$D$13,'Facturas y gastos'!$A$10:$A$13,A45)=0,"",J45*SUMIFS('Facturas y gastos'!$H$10:$H$13,'Facturas y gastos'!$A$10:$A$13,A45)/SUMIFS('Facturas y gastos'!$D$10:$D$13,'Facturas y gastos'!$A$10:$A$13,A45)))</f>
        <v>3.8954919517004618</v>
      </c>
      <c r="M45" s="8">
        <f>IF(J45="","",IF(SUMIFS('Facturas y gastos'!$D$10:$D$13,'Facturas y gastos'!$A$10:$A$13,A45)=0,"",J45*SUMIFS('Facturas y gastos'!$I$10:$I$13,'Facturas y gastos'!$A$10:$A$13,A45)/SUMIFS('Facturas y gastos'!$D$10:$D$13,'Facturas y gastos'!$A$10:$A$13,A45)))</f>
        <v>22.707702265601405</v>
      </c>
      <c r="N45" s="8">
        <f>IF(J45="","",IF(SUMIFS('Facturas y gastos'!$D$10:$D$13,'Facturas y gastos'!$A$10:$A$13,A45)=0,"",J45*SUMIFS('Facturas y gastos'!$J$10:$J$13,'Facturas y gastos'!$A$10:$A$13,A45)/SUMIFS('Facturas y gastos'!$D$10:$D$13,'Facturas y gastos'!$A$10:$A$13,A45)))</f>
        <v>0</v>
      </c>
      <c r="O45" s="8">
        <f t="shared" si="0"/>
        <v>155.15468731875936</v>
      </c>
      <c r="P45" s="8" t="str">
        <f>IF(OR(O45="",'Facturas y gastos'!$B$24="",'Facturas y gastos'!$B$45&lt;&gt;"OK",SUM($O$8:$O$657)=0),"",O45*'Facturas y gastos'!$B$43/SUM($O$8:$O$657))</f>
        <v/>
      </c>
      <c r="Q45" s="8" t="str">
        <f>IF(OR(O45="",'Facturas y gastos'!$B$5="",P45=""),"",O45*'Facturas y gastos'!$B$5+P45)</f>
        <v/>
      </c>
      <c r="R45" s="8" t="str">
        <f t="shared" si="1"/>
        <v/>
      </c>
    </row>
    <row r="46" spans="1:18">
      <c r="A46" s="25" t="s">
        <v>58</v>
      </c>
      <c r="B46" s="25">
        <v>39</v>
      </c>
      <c r="C46" s="25" t="s">
        <v>155</v>
      </c>
      <c r="D46" s="25" t="s">
        <v>148</v>
      </c>
      <c r="E46" s="25" t="s">
        <v>108</v>
      </c>
      <c r="F46" s="27">
        <v>20</v>
      </c>
      <c r="G46" s="27">
        <v>5</v>
      </c>
      <c r="H46" s="29">
        <v>8.81</v>
      </c>
      <c r="I46" s="29">
        <v>176.12</v>
      </c>
      <c r="J46" s="8">
        <f>IF(OR(A46="",I46=""),"",IF(SUMIFS($I$8:$I$657,$A$8:$A$657,A46)=0,"",I46*SUMIFS('Facturas y gastos'!$D$10:$D$13,'Facturas y gastos'!$A$10:$A$13,A46)/SUMIFS($I$8:$I$657,$A$8:$A$657,A46)))</f>
        <v>176.11999999999998</v>
      </c>
      <c r="K46" s="8">
        <f>IF(J46="","",IF(SUMIFS('Facturas y gastos'!$D$10:$D$13,'Facturas y gastos'!$A$10:$A$13,A46)=0,"",J46*SUMIFS('Facturas y gastos'!$G$10:$G$13,'Facturas y gastos'!$A$10:$A$13,A46)/SUMIFS('Facturas y gastos'!$D$10:$D$13,'Facturas y gastos'!$A$10:$A$13,A46)))</f>
        <v>1.7612093567292884</v>
      </c>
      <c r="L46" s="8">
        <f>IF(J46="","",IF(SUMIFS('Facturas y gastos'!$D$10:$D$13,'Facturas y gastos'!$A$10:$A$13,A46)=0,"",J46*SUMIFS('Facturas y gastos'!$H$10:$H$13,'Facturas y gastos'!$A$10:$A$13,A46)/SUMIFS('Facturas y gastos'!$D$10:$D$13,'Facturas y gastos'!$A$10:$A$13,A46)))</f>
        <v>5.283589083815829</v>
      </c>
      <c r="M46" s="8">
        <f>IF(J46="","",IF(SUMIFS('Facturas y gastos'!$D$10:$D$13,'Facturas y gastos'!$A$10:$A$13,A46)=0,"",J46*SUMIFS('Facturas y gastos'!$I$10:$I$13,'Facturas y gastos'!$A$10:$A$13,A46)/SUMIFS('Facturas y gastos'!$D$10:$D$13,'Facturas y gastos'!$A$10:$A$13,A46)))</f>
        <v>30.799233908492258</v>
      </c>
      <c r="N46" s="8">
        <f>IF(J46="","",IF(SUMIFS('Facturas y gastos'!$D$10:$D$13,'Facturas y gastos'!$A$10:$A$13,A46)=0,"",J46*SUMIFS('Facturas y gastos'!$J$10:$J$13,'Facturas y gastos'!$A$10:$A$13,A46)/SUMIFS('Facturas y gastos'!$D$10:$D$13,'Facturas y gastos'!$A$10:$A$13,A46)))</f>
        <v>0</v>
      </c>
      <c r="O46" s="8">
        <f t="shared" si="0"/>
        <v>210.44161363557876</v>
      </c>
      <c r="P46" s="8" t="str">
        <f>IF(OR(O46="",'Facturas y gastos'!$B$24="",'Facturas y gastos'!$B$45&lt;&gt;"OK",SUM($O$8:$O$657)=0),"",O46*'Facturas y gastos'!$B$43/SUM($O$8:$O$657))</f>
        <v/>
      </c>
      <c r="Q46" s="8" t="str">
        <f>IF(OR(O46="",'Facturas y gastos'!$B$5="",P46=""),"",O46*'Facturas y gastos'!$B$5+P46)</f>
        <v/>
      </c>
      <c r="R46" s="8" t="str">
        <f t="shared" si="1"/>
        <v/>
      </c>
    </row>
    <row r="47" spans="1:18">
      <c r="A47" s="25" t="s">
        <v>58</v>
      </c>
      <c r="B47" s="25">
        <v>40</v>
      </c>
      <c r="C47" s="25" t="s">
        <v>156</v>
      </c>
      <c r="D47" s="25" t="s">
        <v>157</v>
      </c>
      <c r="E47" s="25" t="s">
        <v>108</v>
      </c>
      <c r="F47" s="27">
        <v>20</v>
      </c>
      <c r="G47" s="27">
        <v>5</v>
      </c>
      <c r="H47" s="29">
        <v>7.16</v>
      </c>
      <c r="I47" s="29">
        <v>143.28</v>
      </c>
      <c r="J47" s="8">
        <f>IF(OR(A47="",I47=""),"",IF(SUMIFS($I$8:$I$657,$A$8:$A$657,A47)=0,"",I47*SUMIFS('Facturas y gastos'!$D$10:$D$13,'Facturas y gastos'!$A$10:$A$13,A47)/SUMIFS($I$8:$I$657,$A$8:$A$657,A47)))</f>
        <v>143.27999999999997</v>
      </c>
      <c r="K47" s="8">
        <f>IF(J47="","",IF(SUMIFS('Facturas y gastos'!$D$10:$D$13,'Facturas y gastos'!$A$10:$A$13,A47)=0,"",J47*SUMIFS('Facturas y gastos'!$G$10:$G$13,'Facturas y gastos'!$A$10:$A$13,A47)/SUMIFS('Facturas y gastos'!$D$10:$D$13,'Facturas y gastos'!$A$10:$A$13,A47)))</f>
        <v>1.4328076120382265</v>
      </c>
      <c r="L47" s="8">
        <f>IF(J47="","",IF(SUMIFS('Facturas y gastos'!$D$10:$D$13,'Facturas y gastos'!$A$10:$A$13,A47)=0,"",J47*SUMIFS('Facturas y gastos'!$H$10:$H$13,'Facturas y gastos'!$A$10:$A$13,A47)/SUMIFS('Facturas y gastos'!$D$10:$D$13,'Facturas y gastos'!$A$10:$A$13,A47)))</f>
        <v>4.298391119288735</v>
      </c>
      <c r="M47" s="8">
        <f>IF(J47="","",IF(SUMIFS('Facturas y gastos'!$D$10:$D$13,'Facturas y gastos'!$A$10:$A$13,A47)=0,"",J47*SUMIFS('Facturas y gastos'!$I$10:$I$13,'Facturas y gastos'!$A$10:$A$13,A47)/SUMIFS('Facturas y gastos'!$D$10:$D$13,'Facturas y gastos'!$A$10:$A$13,A47)))</f>
        <v>25.056292496075237</v>
      </c>
      <c r="N47" s="8">
        <f>IF(J47="","",IF(SUMIFS('Facturas y gastos'!$D$10:$D$13,'Facturas y gastos'!$A$10:$A$13,A47)=0,"",J47*SUMIFS('Facturas y gastos'!$J$10:$J$13,'Facturas y gastos'!$A$10:$A$13,A47)/SUMIFS('Facturas y gastos'!$D$10:$D$13,'Facturas y gastos'!$A$10:$A$13,A47)))</f>
        <v>0</v>
      </c>
      <c r="O47" s="8">
        <f t="shared" si="0"/>
        <v>171.20187600332571</v>
      </c>
      <c r="P47" s="8" t="str">
        <f>IF(OR(O47="",'Facturas y gastos'!$B$24="",'Facturas y gastos'!$B$45&lt;&gt;"OK",SUM($O$8:$O$657)=0),"",O47*'Facturas y gastos'!$B$43/SUM($O$8:$O$657))</f>
        <v/>
      </c>
      <c r="Q47" s="8" t="str">
        <f>IF(OR(O47="",'Facturas y gastos'!$B$5="",P47=""),"",O47*'Facturas y gastos'!$B$5+P47)</f>
        <v/>
      </c>
      <c r="R47" s="8" t="str">
        <f t="shared" si="1"/>
        <v/>
      </c>
    </row>
    <row r="48" spans="1:18">
      <c r="A48" s="25" t="s">
        <v>58</v>
      </c>
      <c r="B48" s="25">
        <v>41</v>
      </c>
      <c r="C48" s="25" t="s">
        <v>158</v>
      </c>
      <c r="D48" s="25" t="s">
        <v>157</v>
      </c>
      <c r="E48" s="25" t="s">
        <v>108</v>
      </c>
      <c r="F48" s="27">
        <v>24</v>
      </c>
      <c r="G48" s="27">
        <v>4</v>
      </c>
      <c r="H48" s="29">
        <v>8.66</v>
      </c>
      <c r="I48" s="29">
        <v>207.76</v>
      </c>
      <c r="J48" s="8">
        <f>IF(OR(A48="",I48=""),"",IF(SUMIFS($I$8:$I$657,$A$8:$A$657,A48)=0,"",I48*SUMIFS('Facturas y gastos'!$D$10:$D$13,'Facturas y gastos'!$A$10:$A$13,A48)/SUMIFS($I$8:$I$657,$A$8:$A$657,A48)))</f>
        <v>207.75999999999993</v>
      </c>
      <c r="K48" s="8">
        <f>IF(J48="","",IF(SUMIFS('Facturas y gastos'!$D$10:$D$13,'Facturas y gastos'!$A$10:$A$13,A48)=0,"",J48*SUMIFS('Facturas y gastos'!$G$10:$G$13,'Facturas y gastos'!$A$10:$A$13,A48)/SUMIFS('Facturas y gastos'!$D$10:$D$13,'Facturas y gastos'!$A$10:$A$13,A48)))</f>
        <v>2.077611037667936</v>
      </c>
      <c r="L48" s="8">
        <f>IF(J48="","",IF(SUMIFS('Facturas y gastos'!$D$10:$D$13,'Facturas y gastos'!$A$10:$A$13,A48)=0,"",J48*SUMIFS('Facturas y gastos'!$H$10:$H$13,'Facturas y gastos'!$A$10:$A$13,A48)/SUMIFS('Facturas y gastos'!$D$10:$D$13,'Facturas y gastos'!$A$10:$A$13,A48)))</f>
        <v>6.2327871227207385</v>
      </c>
      <c r="M48" s="8">
        <f>IF(J48="","",IF(SUMIFS('Facturas y gastos'!$D$10:$D$13,'Facturas y gastos'!$A$10:$A$13,A48)=0,"",J48*SUMIFS('Facturas y gastos'!$I$10:$I$13,'Facturas y gastos'!$A$10:$A$13,A48)/SUMIFS('Facturas y gastos'!$D$10:$D$13,'Facturas y gastos'!$A$10:$A$13,A48)))</f>
        <v>36.332323624962243</v>
      </c>
      <c r="N48" s="8">
        <f>IF(J48="","",IF(SUMIFS('Facturas y gastos'!$D$10:$D$13,'Facturas y gastos'!$A$10:$A$13,A48)=0,"",J48*SUMIFS('Facturas y gastos'!$J$10:$J$13,'Facturas y gastos'!$A$10:$A$13,A48)/SUMIFS('Facturas y gastos'!$D$10:$D$13,'Facturas y gastos'!$A$10:$A$13,A48)))</f>
        <v>0</v>
      </c>
      <c r="O48" s="8">
        <f t="shared" si="0"/>
        <v>248.24749971001498</v>
      </c>
      <c r="P48" s="8" t="str">
        <f>IF(OR(O48="",'Facturas y gastos'!$B$24="",'Facturas y gastos'!$B$45&lt;&gt;"OK",SUM($O$8:$O$657)=0),"",O48*'Facturas y gastos'!$B$43/SUM($O$8:$O$657))</f>
        <v/>
      </c>
      <c r="Q48" s="8" t="str">
        <f>IF(OR(O48="",'Facturas y gastos'!$B$5="",P48=""),"",O48*'Facturas y gastos'!$B$5+P48)</f>
        <v/>
      </c>
      <c r="R48" s="8" t="str">
        <f t="shared" si="1"/>
        <v/>
      </c>
    </row>
    <row r="49" spans="1:18">
      <c r="A49" s="25" t="s">
        <v>58</v>
      </c>
      <c r="B49" s="25">
        <v>42</v>
      </c>
      <c r="C49" s="25" t="s">
        <v>159</v>
      </c>
      <c r="D49" s="25" t="s">
        <v>157</v>
      </c>
      <c r="E49" s="25" t="s">
        <v>108</v>
      </c>
      <c r="F49" s="27">
        <v>20</v>
      </c>
      <c r="G49" s="27">
        <v>5</v>
      </c>
      <c r="H49" s="29">
        <v>8.2100000000000009</v>
      </c>
      <c r="I49" s="29">
        <v>164.18</v>
      </c>
      <c r="J49" s="8">
        <f>IF(OR(A49="",I49=""),"",IF(SUMIFS($I$8:$I$657,$A$8:$A$657,A49)=0,"",I49*SUMIFS('Facturas y gastos'!$D$10:$D$13,'Facturas y gastos'!$A$10:$A$13,A49)/SUMIFS($I$8:$I$657,$A$8:$A$657,A49)))</f>
        <v>164.17999999999998</v>
      </c>
      <c r="K49" s="8">
        <f>IF(J49="","",IF(SUMIFS('Facturas y gastos'!$D$10:$D$13,'Facturas y gastos'!$A$10:$A$13,A49)=0,"",J49*SUMIFS('Facturas y gastos'!$G$10:$G$13,'Facturas y gastos'!$A$10:$A$13,A49)/SUMIFS('Facturas y gastos'!$D$10:$D$13,'Facturas y gastos'!$A$10:$A$13,A49)))</f>
        <v>1.6418087223927693</v>
      </c>
      <c r="L49" s="8">
        <f>IF(J49="","",IF(SUMIFS('Facturas y gastos'!$D$10:$D$13,'Facturas y gastos'!$A$10:$A$13,A49)=0,"",J49*SUMIFS('Facturas y gastos'!$H$10:$H$13,'Facturas y gastos'!$A$10:$A$13,A49)/SUMIFS('Facturas y gastos'!$D$10:$D$13,'Facturas y gastos'!$A$10:$A$13,A49)))</f>
        <v>4.9253898238751006</v>
      </c>
      <c r="M49" s="8">
        <f>IF(J49="","",IF(SUMIFS('Facturas y gastos'!$D$10:$D$13,'Facturas y gastos'!$A$10:$A$13,A49)=0,"",J49*SUMIFS('Facturas y gastos'!$I$10:$I$13,'Facturas y gastos'!$A$10:$A$13,A49)/SUMIFS('Facturas y gastos'!$D$10:$D$13,'Facturas y gastos'!$A$10:$A$13,A49)))</f>
        <v>28.711209533819321</v>
      </c>
      <c r="N49" s="8">
        <f>IF(J49="","",IF(SUMIFS('Facturas y gastos'!$D$10:$D$13,'Facturas y gastos'!$A$10:$A$13,A49)=0,"",J49*SUMIFS('Facturas y gastos'!$J$10:$J$13,'Facturas y gastos'!$A$10:$A$13,A49)/SUMIFS('Facturas y gastos'!$D$10:$D$13,'Facturas y gastos'!$A$10:$A$13,A49)))</f>
        <v>0</v>
      </c>
      <c r="O49" s="8">
        <f t="shared" si="0"/>
        <v>196.17479063530163</v>
      </c>
      <c r="P49" s="8" t="str">
        <f>IF(OR(O49="",'Facturas y gastos'!$B$24="",'Facturas y gastos'!$B$45&lt;&gt;"OK",SUM($O$8:$O$657)=0),"",O49*'Facturas y gastos'!$B$43/SUM($O$8:$O$657))</f>
        <v/>
      </c>
      <c r="Q49" s="8" t="str">
        <f>IF(OR(O49="",'Facturas y gastos'!$B$5="",P49=""),"",O49*'Facturas y gastos'!$B$5+P49)</f>
        <v/>
      </c>
      <c r="R49" s="8" t="str">
        <f t="shared" si="1"/>
        <v/>
      </c>
    </row>
    <row r="50" spans="1:18">
      <c r="A50" s="25" t="s">
        <v>58</v>
      </c>
      <c r="B50" s="25">
        <v>43</v>
      </c>
      <c r="C50" s="25" t="s">
        <v>160</v>
      </c>
      <c r="D50" s="25" t="s">
        <v>157</v>
      </c>
      <c r="E50" s="25" t="s">
        <v>108</v>
      </c>
      <c r="F50" s="27">
        <v>15</v>
      </c>
      <c r="G50" s="27">
        <v>15</v>
      </c>
      <c r="H50" s="29">
        <v>18.66</v>
      </c>
      <c r="I50" s="29">
        <v>279.85000000000002</v>
      </c>
      <c r="J50" s="8">
        <f>IF(OR(A50="",I50=""),"",IF(SUMIFS($I$8:$I$657,$A$8:$A$657,A50)=0,"",I50*SUMIFS('Facturas y gastos'!$D$10:$D$13,'Facturas y gastos'!$A$10:$A$13,A50)/SUMIFS($I$8:$I$657,$A$8:$A$657,A50)))</f>
        <v>279.84999999999997</v>
      </c>
      <c r="K50" s="8">
        <f>IF(J50="","",IF(SUMIFS('Facturas y gastos'!$D$10:$D$13,'Facturas y gastos'!$A$10:$A$13,A50)=0,"",J50*SUMIFS('Facturas y gastos'!$G$10:$G$13,'Facturas y gastos'!$A$10:$A$13,A50)/SUMIFS('Facturas y gastos'!$D$10:$D$13,'Facturas y gastos'!$A$10:$A$13,A50)))</f>
        <v>2.7985148675942049</v>
      </c>
      <c r="L50" s="8">
        <f>IF(J50="","",IF(SUMIFS('Facturas y gastos'!$D$10:$D$13,'Facturas y gastos'!$A$10:$A$13,A50)=0,"",J50*SUMIFS('Facturas y gastos'!$H$10:$H$13,'Facturas y gastos'!$A$10:$A$13,A50)/SUMIFS('Facturas y gastos'!$D$10:$D$13,'Facturas y gastos'!$A$10:$A$13,A50)))</f>
        <v>8.395482654473426</v>
      </c>
      <c r="M50" s="8">
        <f>IF(J50="","",IF(SUMIFS('Facturas y gastos'!$D$10:$D$13,'Facturas y gastos'!$A$10:$A$13,A50)=0,"",J50*SUMIFS('Facturas y gastos'!$I$10:$I$13,'Facturas y gastos'!$A$10:$A$13,A50)/SUMIFS('Facturas y gastos'!$D$10:$D$13,'Facturas y gastos'!$A$10:$A$13,A50)))</f>
        <v>48.93916425898</v>
      </c>
      <c r="N50" s="8">
        <f>IF(J50="","",IF(SUMIFS('Facturas y gastos'!$D$10:$D$13,'Facturas y gastos'!$A$10:$A$13,A50)=0,"",J50*SUMIFS('Facturas y gastos'!$J$10:$J$13,'Facturas y gastos'!$A$10:$A$13,A50)/SUMIFS('Facturas y gastos'!$D$10:$D$13,'Facturas y gastos'!$A$10:$A$13,A50)))</f>
        <v>0</v>
      </c>
      <c r="O50" s="8">
        <f t="shared" si="0"/>
        <v>334.3861320458592</v>
      </c>
      <c r="P50" s="8" t="str">
        <f>IF(OR(O50="",'Facturas y gastos'!$B$24="",'Facturas y gastos'!$B$45&lt;&gt;"OK",SUM($O$8:$O$657)=0),"",O50*'Facturas y gastos'!$B$43/SUM($O$8:$O$657))</f>
        <v/>
      </c>
      <c r="Q50" s="8" t="str">
        <f>IF(OR(O50="",'Facturas y gastos'!$B$5="",P50=""),"",O50*'Facturas y gastos'!$B$5+P50)</f>
        <v/>
      </c>
      <c r="R50" s="8" t="str">
        <f t="shared" si="1"/>
        <v/>
      </c>
    </row>
    <row r="51" spans="1:18">
      <c r="A51" s="25" t="s">
        <v>58</v>
      </c>
      <c r="B51" s="25">
        <v>44</v>
      </c>
      <c r="C51" s="25" t="s">
        <v>161</v>
      </c>
      <c r="D51" s="25" t="s">
        <v>157</v>
      </c>
      <c r="E51" s="25" t="s">
        <v>108</v>
      </c>
      <c r="F51" s="27">
        <v>15</v>
      </c>
      <c r="G51" s="27">
        <v>15</v>
      </c>
      <c r="H51" s="29">
        <v>18.66</v>
      </c>
      <c r="I51" s="29">
        <v>279.85000000000002</v>
      </c>
      <c r="J51" s="8">
        <f>IF(OR(A51="",I51=""),"",IF(SUMIFS($I$8:$I$657,$A$8:$A$657,A51)=0,"",I51*SUMIFS('Facturas y gastos'!$D$10:$D$13,'Facturas y gastos'!$A$10:$A$13,A51)/SUMIFS($I$8:$I$657,$A$8:$A$657,A51)))</f>
        <v>279.84999999999997</v>
      </c>
      <c r="K51" s="8">
        <f>IF(J51="","",IF(SUMIFS('Facturas y gastos'!$D$10:$D$13,'Facturas y gastos'!$A$10:$A$13,A51)=0,"",J51*SUMIFS('Facturas y gastos'!$G$10:$G$13,'Facturas y gastos'!$A$10:$A$13,A51)/SUMIFS('Facturas y gastos'!$D$10:$D$13,'Facturas y gastos'!$A$10:$A$13,A51)))</f>
        <v>2.7985148675942049</v>
      </c>
      <c r="L51" s="8">
        <f>IF(J51="","",IF(SUMIFS('Facturas y gastos'!$D$10:$D$13,'Facturas y gastos'!$A$10:$A$13,A51)=0,"",J51*SUMIFS('Facturas y gastos'!$H$10:$H$13,'Facturas y gastos'!$A$10:$A$13,A51)/SUMIFS('Facturas y gastos'!$D$10:$D$13,'Facturas y gastos'!$A$10:$A$13,A51)))</f>
        <v>8.395482654473426</v>
      </c>
      <c r="M51" s="8">
        <f>IF(J51="","",IF(SUMIFS('Facturas y gastos'!$D$10:$D$13,'Facturas y gastos'!$A$10:$A$13,A51)=0,"",J51*SUMIFS('Facturas y gastos'!$I$10:$I$13,'Facturas y gastos'!$A$10:$A$13,A51)/SUMIFS('Facturas y gastos'!$D$10:$D$13,'Facturas y gastos'!$A$10:$A$13,A51)))</f>
        <v>48.93916425898</v>
      </c>
      <c r="N51" s="8">
        <f>IF(J51="","",IF(SUMIFS('Facturas y gastos'!$D$10:$D$13,'Facturas y gastos'!$A$10:$A$13,A51)=0,"",J51*SUMIFS('Facturas y gastos'!$J$10:$J$13,'Facturas y gastos'!$A$10:$A$13,A51)/SUMIFS('Facturas y gastos'!$D$10:$D$13,'Facturas y gastos'!$A$10:$A$13,A51)))</f>
        <v>0</v>
      </c>
      <c r="O51" s="8">
        <f t="shared" si="0"/>
        <v>334.3861320458592</v>
      </c>
      <c r="P51" s="8" t="str">
        <f>IF(OR(O51="",'Facturas y gastos'!$B$24="",'Facturas y gastos'!$B$45&lt;&gt;"OK",SUM($O$8:$O$657)=0),"",O51*'Facturas y gastos'!$B$43/SUM($O$8:$O$657))</f>
        <v/>
      </c>
      <c r="Q51" s="8" t="str">
        <f>IF(OR(O51="",'Facturas y gastos'!$B$5="",P51=""),"",O51*'Facturas y gastos'!$B$5+P51)</f>
        <v/>
      </c>
      <c r="R51" s="8" t="str">
        <f t="shared" si="1"/>
        <v/>
      </c>
    </row>
    <row r="52" spans="1:18">
      <c r="A52" s="25" t="s">
        <v>58</v>
      </c>
      <c r="B52" s="25">
        <v>45</v>
      </c>
      <c r="C52" s="25" t="s">
        <v>162</v>
      </c>
      <c r="D52" s="25" t="s">
        <v>163</v>
      </c>
      <c r="E52" s="25" t="s">
        <v>108</v>
      </c>
      <c r="F52" s="27">
        <v>60</v>
      </c>
      <c r="G52" s="27">
        <v>5</v>
      </c>
      <c r="H52" s="29">
        <v>6.72</v>
      </c>
      <c r="I52" s="29">
        <v>402.99</v>
      </c>
      <c r="J52" s="8">
        <f>IF(OR(A52="",I52=""),"",IF(SUMIFS($I$8:$I$657,$A$8:$A$657,A52)=0,"",I52*SUMIFS('Facturas y gastos'!$D$10:$D$13,'Facturas y gastos'!$A$10:$A$13,A52)/SUMIFS($I$8:$I$657,$A$8:$A$657,A52)))</f>
        <v>402.98999999999995</v>
      </c>
      <c r="K52" s="8">
        <f>IF(J52="","",IF(SUMIFS('Facturas y gastos'!$D$10:$D$13,'Facturas y gastos'!$A$10:$A$13,A52)=0,"",J52*SUMIFS('Facturas y gastos'!$G$10:$G$13,'Facturas y gastos'!$A$10:$A$13,A52)/SUMIFS('Facturas y gastos'!$D$10:$D$13,'Facturas y gastos'!$A$10:$A$13,A52)))</f>
        <v>4.0299214096544169</v>
      </c>
      <c r="L52" s="8">
        <f>IF(J52="","",IF(SUMIFS('Facturas y gastos'!$D$10:$D$13,'Facturas y gastos'!$A$10:$A$13,A52)=0,"",J52*SUMIFS('Facturas y gastos'!$H$10:$H$13,'Facturas y gastos'!$A$10:$A$13,A52)/SUMIFS('Facturas y gastos'!$D$10:$D$13,'Facturas y gastos'!$A$10:$A$13,A52)))</f>
        <v>12.089675022069844</v>
      </c>
      <c r="M52" s="8">
        <f>IF(J52="","",IF(SUMIFS('Facturas y gastos'!$D$10:$D$13,'Facturas y gastos'!$A$10:$A$13,A52)=0,"",J52*SUMIFS('Facturas y gastos'!$I$10:$I$13,'Facturas y gastos'!$A$10:$A$13,A52)/SUMIFS('Facturas y gastos'!$D$10:$D$13,'Facturas y gastos'!$A$10:$A$13,A52)))</f>
        <v>70.473445791410938</v>
      </c>
      <c r="N52" s="8">
        <f>IF(J52="","",IF(SUMIFS('Facturas y gastos'!$D$10:$D$13,'Facturas y gastos'!$A$10:$A$13,A52)=0,"",J52*SUMIFS('Facturas y gastos'!$J$10:$J$13,'Facturas y gastos'!$A$10:$A$13,A52)/SUMIFS('Facturas y gastos'!$D$10:$D$13,'Facturas y gastos'!$A$10:$A$13,A52)))</f>
        <v>0</v>
      </c>
      <c r="O52" s="8">
        <f t="shared" si="0"/>
        <v>481.52319940382631</v>
      </c>
      <c r="P52" s="8" t="str">
        <f>IF(OR(O52="",'Facturas y gastos'!$B$24="",'Facturas y gastos'!$B$45&lt;&gt;"OK",SUM($O$8:$O$657)=0),"",O52*'Facturas y gastos'!$B$43/SUM($O$8:$O$657))</f>
        <v/>
      </c>
      <c r="Q52" s="8" t="str">
        <f>IF(OR(O52="",'Facturas y gastos'!$B$5="",P52=""),"",O52*'Facturas y gastos'!$B$5+P52)</f>
        <v/>
      </c>
      <c r="R52" s="8" t="str">
        <f t="shared" si="1"/>
        <v/>
      </c>
    </row>
    <row r="53" spans="1:18">
      <c r="A53" s="25" t="s">
        <v>58</v>
      </c>
      <c r="B53" s="25">
        <v>46</v>
      </c>
      <c r="C53" s="25" t="s">
        <v>164</v>
      </c>
      <c r="D53" s="25" t="s">
        <v>163</v>
      </c>
      <c r="E53" s="25" t="s">
        <v>108</v>
      </c>
      <c r="F53" s="27">
        <v>60</v>
      </c>
      <c r="G53" s="27">
        <v>5</v>
      </c>
      <c r="H53" s="29">
        <v>6.27</v>
      </c>
      <c r="I53" s="29">
        <v>376.12</v>
      </c>
      <c r="J53" s="8">
        <f>IF(OR(A53="",I53=""),"",IF(SUMIFS($I$8:$I$657,$A$8:$A$657,A53)=0,"",I53*SUMIFS('Facturas y gastos'!$D$10:$D$13,'Facturas y gastos'!$A$10:$A$13,A53)/SUMIFS($I$8:$I$657,$A$8:$A$657,A53)))</f>
        <v>376.11999999999995</v>
      </c>
      <c r="K53" s="8">
        <f>IF(J53="","",IF(SUMIFS('Facturas y gastos'!$D$10:$D$13,'Facturas y gastos'!$A$10:$A$13,A53)=0,"",J53*SUMIFS('Facturas y gastos'!$G$10:$G$13,'Facturas y gastos'!$A$10:$A$13,A53)/SUMIFS('Facturas y gastos'!$D$10:$D$13,'Facturas y gastos'!$A$10:$A$13,A53)))</f>
        <v>3.7612199821316139</v>
      </c>
      <c r="L53" s="8">
        <f>IF(J53="","",IF(SUMIFS('Facturas y gastos'!$D$10:$D$13,'Facturas y gastos'!$A$10:$A$13,A53)=0,"",J53*SUMIFS('Facturas y gastos'!$H$10:$H$13,'Facturas y gastos'!$A$10:$A$13,A53)/SUMIFS('Facturas y gastos'!$D$10:$D$13,'Facturas y gastos'!$A$10:$A$13,A53)))</f>
        <v>11.283576687513113</v>
      </c>
      <c r="M53" s="8">
        <f>IF(J53="","",IF(SUMIFS('Facturas y gastos'!$D$10:$D$13,'Facturas y gastos'!$A$10:$A$13,A53)=0,"",J53*SUMIFS('Facturas y gastos'!$I$10:$I$13,'Facturas y gastos'!$A$10:$A$13,A53)/SUMIFS('Facturas y gastos'!$D$10:$D$13,'Facturas y gastos'!$A$10:$A$13,A53)))</f>
        <v>65.774516566330391</v>
      </c>
      <c r="N53" s="8">
        <f>IF(J53="","",IF(SUMIFS('Facturas y gastos'!$D$10:$D$13,'Facturas y gastos'!$A$10:$A$13,A53)=0,"",J53*SUMIFS('Facturas y gastos'!$J$10:$J$13,'Facturas y gastos'!$A$10:$A$13,A53)/SUMIFS('Facturas y gastos'!$D$10:$D$13,'Facturas y gastos'!$A$10:$A$13,A53)))</f>
        <v>0</v>
      </c>
      <c r="O53" s="8">
        <f t="shared" si="0"/>
        <v>449.41687327171189</v>
      </c>
      <c r="P53" s="8" t="str">
        <f>IF(OR(O53="",'Facturas y gastos'!$B$24="",'Facturas y gastos'!$B$45&lt;&gt;"OK",SUM($O$8:$O$657)=0),"",O53*'Facturas y gastos'!$B$43/SUM($O$8:$O$657))</f>
        <v/>
      </c>
      <c r="Q53" s="8" t="str">
        <f>IF(OR(O53="",'Facturas y gastos'!$B$5="",P53=""),"",O53*'Facturas y gastos'!$B$5+P53)</f>
        <v/>
      </c>
      <c r="R53" s="8" t="str">
        <f t="shared" si="1"/>
        <v/>
      </c>
    </row>
    <row r="54" spans="1:18">
      <c r="A54" s="25" t="s">
        <v>58</v>
      </c>
      <c r="B54" s="25">
        <v>47</v>
      </c>
      <c r="C54" s="25" t="s">
        <v>165</v>
      </c>
      <c r="D54" s="25" t="s">
        <v>163</v>
      </c>
      <c r="E54" s="25" t="s">
        <v>108</v>
      </c>
      <c r="F54" s="27">
        <v>120</v>
      </c>
      <c r="G54" s="27">
        <v>5</v>
      </c>
      <c r="H54" s="29">
        <v>5.22</v>
      </c>
      <c r="I54" s="29">
        <v>626.87</v>
      </c>
      <c r="J54" s="8">
        <f>IF(OR(A54="",I54=""),"",IF(SUMIFS($I$8:$I$657,$A$8:$A$657,A54)=0,"",I54*SUMIFS('Facturas y gastos'!$D$10:$D$13,'Facturas y gastos'!$A$10:$A$13,A54)/SUMIFS($I$8:$I$657,$A$8:$A$657,A54)))</f>
        <v>626.86999999999989</v>
      </c>
      <c r="K54" s="8">
        <f>IF(J54="","",IF(SUMIFS('Facturas y gastos'!$D$10:$D$13,'Facturas y gastos'!$A$10:$A$13,A54)=0,"",J54*SUMIFS('Facturas y gastos'!$G$10:$G$13,'Facturas y gastos'!$A$10:$A$13,A54)/SUMIFS('Facturas y gastos'!$D$10:$D$13,'Facturas y gastos'!$A$10:$A$13,A54)))</f>
        <v>6.268733303729781</v>
      </c>
      <c r="L54" s="8">
        <f>IF(J54="","",IF(SUMIFS('Facturas y gastos'!$D$10:$D$13,'Facturas y gastos'!$A$10:$A$13,A54)=0,"",J54*SUMIFS('Facturas y gastos'!$H$10:$H$13,'Facturas y gastos'!$A$10:$A$13,A54)/SUMIFS('Facturas y gastos'!$D$10:$D$13,'Facturas y gastos'!$A$10:$A$13,A54)))</f>
        <v>18.806061145648584</v>
      </c>
      <c r="M54" s="8">
        <f>IF(J54="","",IF(SUMIFS('Facturas y gastos'!$D$10:$D$13,'Facturas y gastos'!$A$10:$A$13,A54)=0,"",J54*SUMIFS('Facturas y gastos'!$I$10:$I$13,'Facturas y gastos'!$A$10:$A$13,A54)/SUMIFS('Facturas y gastos'!$D$10:$D$13,'Facturas y gastos'!$A$10:$A$13,A54)))</f>
        <v>109.62477719859494</v>
      </c>
      <c r="N54" s="8">
        <f>IF(J54="","",IF(SUMIFS('Facturas y gastos'!$D$10:$D$13,'Facturas y gastos'!$A$10:$A$13,A54)=0,"",J54*SUMIFS('Facturas y gastos'!$J$10:$J$13,'Facturas y gastos'!$A$10:$A$13,A54)/SUMIFS('Facturas y gastos'!$D$10:$D$13,'Facturas y gastos'!$A$10:$A$13,A54)))</f>
        <v>0</v>
      </c>
      <c r="O54" s="8">
        <f t="shared" si="0"/>
        <v>749.03210504051367</v>
      </c>
      <c r="P54" s="8" t="str">
        <f>IF(OR(O54="",'Facturas y gastos'!$B$24="",'Facturas y gastos'!$B$45&lt;&gt;"OK",SUM($O$8:$O$657)=0),"",O54*'Facturas y gastos'!$B$43/SUM($O$8:$O$657))</f>
        <v/>
      </c>
      <c r="Q54" s="8" t="str">
        <f>IF(OR(O54="",'Facturas y gastos'!$B$5="",P54=""),"",O54*'Facturas y gastos'!$B$5+P54)</f>
        <v/>
      </c>
      <c r="R54" s="8" t="str">
        <f t="shared" si="1"/>
        <v/>
      </c>
    </row>
    <row r="55" spans="1:18">
      <c r="A55" s="25" t="s">
        <v>58</v>
      </c>
      <c r="B55" s="25">
        <v>48</v>
      </c>
      <c r="C55" s="25" t="s">
        <v>166</v>
      </c>
      <c r="D55" s="25" t="s">
        <v>167</v>
      </c>
      <c r="E55" s="25" t="s">
        <v>108</v>
      </c>
      <c r="F55" s="27">
        <v>30</v>
      </c>
      <c r="G55" s="27">
        <v>30</v>
      </c>
      <c r="H55" s="29">
        <v>8.66</v>
      </c>
      <c r="I55" s="29">
        <v>259.7</v>
      </c>
      <c r="J55" s="8">
        <f>IF(OR(A55="",I55=""),"",IF(SUMIFS($I$8:$I$657,$A$8:$A$657,A55)=0,"",I55*SUMIFS('Facturas y gastos'!$D$10:$D$13,'Facturas y gastos'!$A$10:$A$13,A55)/SUMIFS($I$8:$I$657,$A$8:$A$657,A55)))</f>
        <v>259.69999999999993</v>
      </c>
      <c r="K55" s="8">
        <f>IF(J55="","",IF(SUMIFS('Facturas y gastos'!$D$10:$D$13,'Facturas y gastos'!$A$10:$A$13,A55)=0,"",J55*SUMIFS('Facturas y gastos'!$G$10:$G$13,'Facturas y gastos'!$A$10:$A$13,A55)/SUMIFS('Facturas y gastos'!$D$10:$D$13,'Facturas y gastos'!$A$10:$A$13,A55)))</f>
        <v>2.5970137970849199</v>
      </c>
      <c r="L55" s="8">
        <f>IF(J55="","",IF(SUMIFS('Facturas y gastos'!$D$10:$D$13,'Facturas y gastos'!$A$10:$A$13,A55)=0,"",J55*SUMIFS('Facturas y gastos'!$H$10:$H$13,'Facturas y gastos'!$A$10:$A$13,A55)/SUMIFS('Facturas y gastos'!$D$10:$D$13,'Facturas y gastos'!$A$10:$A$13,A55)))</f>
        <v>7.7909839034009236</v>
      </c>
      <c r="M55" s="8">
        <f>IF(J55="","",IF(SUMIFS('Facturas y gastos'!$D$10:$D$13,'Facturas y gastos'!$A$10:$A$13,A55)=0,"",J55*SUMIFS('Facturas y gastos'!$I$10:$I$13,'Facturas y gastos'!$A$10:$A$13,A55)/SUMIFS('Facturas y gastos'!$D$10:$D$13,'Facturas y gastos'!$A$10:$A$13,A55)))</f>
        <v>45.41540453120281</v>
      </c>
      <c r="N55" s="8">
        <f>IF(J55="","",IF(SUMIFS('Facturas y gastos'!$D$10:$D$13,'Facturas y gastos'!$A$10:$A$13,A55)=0,"",J55*SUMIFS('Facturas y gastos'!$J$10:$J$13,'Facturas y gastos'!$A$10:$A$13,A55)/SUMIFS('Facturas y gastos'!$D$10:$D$13,'Facturas y gastos'!$A$10:$A$13,A55)))</f>
        <v>0</v>
      </c>
      <c r="O55" s="8">
        <f t="shared" si="0"/>
        <v>310.30937463751872</v>
      </c>
      <c r="P55" s="8" t="str">
        <f>IF(OR(O55="",'Facturas y gastos'!$B$24="",'Facturas y gastos'!$B$45&lt;&gt;"OK",SUM($O$8:$O$657)=0),"",O55*'Facturas y gastos'!$B$43/SUM($O$8:$O$657))</f>
        <v/>
      </c>
      <c r="Q55" s="8" t="str">
        <f>IF(OR(O55="",'Facturas y gastos'!$B$5="",P55=""),"",O55*'Facturas y gastos'!$B$5+P55)</f>
        <v/>
      </c>
      <c r="R55" s="8" t="str">
        <f t="shared" si="1"/>
        <v/>
      </c>
    </row>
    <row r="56" spans="1:18">
      <c r="A56" s="25" t="s">
        <v>58</v>
      </c>
      <c r="B56" s="25">
        <v>49</v>
      </c>
      <c r="C56" s="25" t="s">
        <v>168</v>
      </c>
      <c r="D56" s="25" t="s">
        <v>169</v>
      </c>
      <c r="E56" s="25" t="s">
        <v>108</v>
      </c>
      <c r="F56" s="27">
        <v>64</v>
      </c>
      <c r="G56" s="27">
        <v>8</v>
      </c>
      <c r="H56" s="29">
        <v>10.15</v>
      </c>
      <c r="I56" s="29">
        <v>649.54999999999995</v>
      </c>
      <c r="J56" s="8">
        <f>IF(OR(A56="",I56=""),"",IF(SUMIFS($I$8:$I$657,$A$8:$A$657,A56)=0,"",I56*SUMIFS('Facturas y gastos'!$D$10:$D$13,'Facturas y gastos'!$A$10:$A$13,A56)/SUMIFS($I$8:$I$657,$A$8:$A$657,A56)))</f>
        <v>649.54999999999984</v>
      </c>
      <c r="K56" s="8">
        <f>IF(J56="","",IF(SUMIFS('Facturas y gastos'!$D$10:$D$13,'Facturas y gastos'!$A$10:$A$13,A56)=0,"",J56*SUMIFS('Facturas y gastos'!$G$10:$G$13,'Facturas y gastos'!$A$10:$A$13,A56)/SUMIFS('Facturas y gastos'!$D$10:$D$13,'Facturas y gastos'!$A$10:$A$13,A56)))</f>
        <v>6.4955345086504037</v>
      </c>
      <c r="L56" s="8">
        <f>IF(J56="","",IF(SUMIFS('Facturas y gastos'!$D$10:$D$13,'Facturas y gastos'!$A$10:$A$13,A56)=0,"",J56*SUMIFS('Facturas y gastos'!$H$10:$H$13,'Facturas y gastos'!$A$10:$A$13,A56)/SUMIFS('Facturas y gastos'!$D$10:$D$13,'Facturas y gastos'!$A$10:$A$13,A56)))</f>
        <v>19.486459739907854</v>
      </c>
      <c r="M56" s="8">
        <f>IF(J56="","",IF(SUMIFS('Facturas y gastos'!$D$10:$D$13,'Facturas y gastos'!$A$10:$A$13,A56)=0,"",J56*SUMIFS('Facturas y gastos'!$I$10:$I$13,'Facturas y gastos'!$A$10:$A$13,A56)/SUMIFS('Facturas y gastos'!$D$10:$D$13,'Facturas y gastos'!$A$10:$A$13,A56)))</f>
        <v>113.59097425199379</v>
      </c>
      <c r="N56" s="8">
        <f>IF(J56="","",IF(SUMIFS('Facturas y gastos'!$D$10:$D$13,'Facturas y gastos'!$A$10:$A$13,A56)=0,"",J56*SUMIFS('Facturas y gastos'!$J$10:$J$13,'Facturas y gastos'!$A$10:$A$13,A56)/SUMIFS('Facturas y gastos'!$D$10:$D$13,'Facturas y gastos'!$A$10:$A$13,A56)))</f>
        <v>0</v>
      </c>
      <c r="O56" s="8">
        <f t="shared" si="0"/>
        <v>776.13189948325112</v>
      </c>
      <c r="P56" s="8" t="str">
        <f>IF(OR(O56="",'Facturas y gastos'!$B$24="",'Facturas y gastos'!$B$45&lt;&gt;"OK",SUM($O$8:$O$657)=0),"",O56*'Facturas y gastos'!$B$43/SUM($O$8:$O$657))</f>
        <v/>
      </c>
      <c r="Q56" s="8" t="str">
        <f>IF(OR(O56="",'Facturas y gastos'!$B$5="",P56=""),"",O56*'Facturas y gastos'!$B$5+P56)</f>
        <v/>
      </c>
      <c r="R56" s="8" t="str">
        <f t="shared" si="1"/>
        <v/>
      </c>
    </row>
    <row r="57" spans="1:18">
      <c r="A57" s="25" t="s">
        <v>58</v>
      </c>
      <c r="B57" s="25">
        <v>50</v>
      </c>
      <c r="C57" s="25" t="s">
        <v>170</v>
      </c>
      <c r="D57" s="25" t="s">
        <v>171</v>
      </c>
      <c r="E57" s="25" t="s">
        <v>172</v>
      </c>
      <c r="F57" s="27">
        <v>108</v>
      </c>
      <c r="G57" s="27">
        <v>3</v>
      </c>
      <c r="H57" s="29">
        <v>1.87</v>
      </c>
      <c r="I57" s="29">
        <v>201.49</v>
      </c>
      <c r="J57" s="8">
        <f>IF(OR(A57="",I57=""),"",IF(SUMIFS($I$8:$I$657,$A$8:$A$657,A57)=0,"",I57*SUMIFS('Facturas y gastos'!$D$10:$D$13,'Facturas y gastos'!$A$10:$A$13,A57)/SUMIFS($I$8:$I$657,$A$8:$A$657,A57)))</f>
        <v>201.48999999999995</v>
      </c>
      <c r="K57" s="8">
        <f>IF(J57="","",IF(SUMIFS('Facturas y gastos'!$D$10:$D$13,'Facturas y gastos'!$A$10:$A$13,A57)=0,"",J57*SUMIFS('Facturas y gastos'!$G$10:$G$13,'Facturas y gastos'!$A$10:$A$13,A57)/SUMIFS('Facturas y gastos'!$D$10:$D$13,'Facturas y gastos'!$A$10:$A$13,A57)))</f>
        <v>2.0149107045615735</v>
      </c>
      <c r="L57" s="8">
        <f>IF(J57="","",IF(SUMIFS('Facturas y gastos'!$D$10:$D$13,'Facturas y gastos'!$A$10:$A$13,A57)=0,"",J57*SUMIFS('Facturas y gastos'!$H$10:$H$13,'Facturas y gastos'!$A$10:$A$13,A57)/SUMIFS('Facturas y gastos'!$D$10:$D$13,'Facturas y gastos'!$A$10:$A$13,A57)))</f>
        <v>6.0446875113448293</v>
      </c>
      <c r="M57" s="8">
        <f>IF(J57="","",IF(SUMIFS('Facturas y gastos'!$D$10:$D$13,'Facturas y gastos'!$A$10:$A$13,A57)=0,"",J57*SUMIFS('Facturas y gastos'!$I$10:$I$13,'Facturas y gastos'!$A$10:$A$13,A57)/SUMIFS('Facturas y gastos'!$D$10:$D$13,'Facturas y gastos'!$A$10:$A$13,A57)))</f>
        <v>35.23584851363902</v>
      </c>
      <c r="N57" s="8">
        <f>IF(J57="","",IF(SUMIFS('Facturas y gastos'!$D$10:$D$13,'Facturas y gastos'!$A$10:$A$13,A57)=0,"",J57*SUMIFS('Facturas y gastos'!$J$10:$J$13,'Facturas y gastos'!$A$10:$A$13,A57)/SUMIFS('Facturas y gastos'!$D$10:$D$13,'Facturas y gastos'!$A$10:$A$13,A57)))</f>
        <v>0</v>
      </c>
      <c r="O57" s="8">
        <f t="shared" si="0"/>
        <v>240.75562532042221</v>
      </c>
      <c r="P57" s="8" t="str">
        <f>IF(OR(O57="",'Facturas y gastos'!$B$24="",'Facturas y gastos'!$B$45&lt;&gt;"OK",SUM($O$8:$O$657)=0),"",O57*'Facturas y gastos'!$B$43/SUM($O$8:$O$657))</f>
        <v/>
      </c>
      <c r="Q57" s="8" t="str">
        <f>IF(OR(O57="",'Facturas y gastos'!$B$5="",P57=""),"",O57*'Facturas y gastos'!$B$5+P57)</f>
        <v/>
      </c>
      <c r="R57" s="8" t="str">
        <f t="shared" si="1"/>
        <v/>
      </c>
    </row>
    <row r="58" spans="1:18">
      <c r="A58" s="25" t="s">
        <v>58</v>
      </c>
      <c r="B58" s="25">
        <v>51</v>
      </c>
      <c r="C58" s="25" t="s">
        <v>173</v>
      </c>
      <c r="D58" s="25" t="s">
        <v>171</v>
      </c>
      <c r="E58" s="25" t="s">
        <v>172</v>
      </c>
      <c r="F58" s="27">
        <v>192</v>
      </c>
      <c r="G58" s="27">
        <v>4</v>
      </c>
      <c r="H58" s="29">
        <v>1.37</v>
      </c>
      <c r="I58" s="29">
        <v>263.64</v>
      </c>
      <c r="J58" s="8">
        <f>IF(OR(A58="",I58=""),"",IF(SUMIFS($I$8:$I$657,$A$8:$A$657,A58)=0,"",I58*SUMIFS('Facturas y gastos'!$D$10:$D$13,'Facturas y gastos'!$A$10:$A$13,A58)/SUMIFS($I$8:$I$657,$A$8:$A$657,A58)))</f>
        <v>263.63999999999993</v>
      </c>
      <c r="K58" s="8">
        <f>IF(J58="","",IF(SUMIFS('Facturas y gastos'!$D$10:$D$13,'Facturas y gastos'!$A$10:$A$13,A58)=0,"",J58*SUMIFS('Facturas y gastos'!$G$10:$G$13,'Facturas y gastos'!$A$10:$A$13,A58)/SUMIFS('Facturas y gastos'!$D$10:$D$13,'Facturas y gastos'!$A$10:$A$13,A58)))</f>
        <v>2.6364140064053458</v>
      </c>
      <c r="L58" s="8">
        <f>IF(J58="","",IF(SUMIFS('Facturas y gastos'!$D$10:$D$13,'Facturas y gastos'!$A$10:$A$13,A58)=0,"",J58*SUMIFS('Facturas y gastos'!$H$10:$H$13,'Facturas y gastos'!$A$10:$A$13,A58)/SUMIFS('Facturas y gastos'!$D$10:$D$13,'Facturas y gastos'!$A$10:$A$13,A58)))</f>
        <v>7.9091836591937597</v>
      </c>
      <c r="M58" s="8">
        <f>IF(J58="","",IF(SUMIFS('Facturas y gastos'!$D$10:$D$13,'Facturas y gastos'!$A$10:$A$13,A58)=0,"",J58*SUMIFS('Facturas y gastos'!$I$10:$I$13,'Facturas y gastos'!$A$10:$A$13,A58)/SUMIFS('Facturas y gastos'!$D$10:$D$13,'Facturas y gastos'!$A$10:$A$13,A58)))</f>
        <v>46.104417599562218</v>
      </c>
      <c r="N58" s="8">
        <f>IF(J58="","",IF(SUMIFS('Facturas y gastos'!$D$10:$D$13,'Facturas y gastos'!$A$10:$A$13,A58)=0,"",J58*SUMIFS('Facturas y gastos'!$J$10:$J$13,'Facturas y gastos'!$A$10:$A$13,A58)/SUMIFS('Facturas y gastos'!$D$10:$D$13,'Facturas y gastos'!$A$10:$A$13,A58)))</f>
        <v>0</v>
      </c>
      <c r="O58" s="8">
        <f t="shared" si="0"/>
        <v>315.0171872523506</v>
      </c>
      <c r="P58" s="8" t="str">
        <f>IF(OR(O58="",'Facturas y gastos'!$B$24="",'Facturas y gastos'!$B$45&lt;&gt;"OK",SUM($O$8:$O$657)=0),"",O58*'Facturas y gastos'!$B$43/SUM($O$8:$O$657))</f>
        <v/>
      </c>
      <c r="Q58" s="8" t="str">
        <f>IF(OR(O58="",'Facturas y gastos'!$B$5="",P58=""),"",O58*'Facturas y gastos'!$B$5+P58)</f>
        <v/>
      </c>
      <c r="R58" s="8" t="str">
        <f t="shared" si="1"/>
        <v/>
      </c>
    </row>
    <row r="59" spans="1:18">
      <c r="A59" s="25" t="s">
        <v>58</v>
      </c>
      <c r="B59" s="25">
        <v>52</v>
      </c>
      <c r="C59" s="25" t="s">
        <v>174</v>
      </c>
      <c r="D59" s="25" t="s">
        <v>171</v>
      </c>
      <c r="E59" s="25" t="s">
        <v>172</v>
      </c>
      <c r="F59" s="27">
        <v>240</v>
      </c>
      <c r="G59" s="27">
        <v>5</v>
      </c>
      <c r="H59" s="29">
        <v>1.28</v>
      </c>
      <c r="I59" s="29">
        <v>308.06</v>
      </c>
      <c r="J59" s="8">
        <f>IF(OR(A59="",I59=""),"",IF(SUMIFS($I$8:$I$657,$A$8:$A$657,A59)=0,"",I59*SUMIFS('Facturas y gastos'!$D$10:$D$13,'Facturas y gastos'!$A$10:$A$13,A59)/SUMIFS($I$8:$I$657,$A$8:$A$657,A59)))</f>
        <v>308.05999999999995</v>
      </c>
      <c r="K59" s="8">
        <f>IF(J59="","",IF(SUMIFS('Facturas y gastos'!$D$10:$D$13,'Facturas y gastos'!$A$10:$A$13,A59)=0,"",J59*SUMIFS('Facturas y gastos'!$G$10:$G$13,'Facturas y gastos'!$A$10:$A$13,A59)/SUMIFS('Facturas y gastos'!$D$10:$D$13,'Facturas y gastos'!$A$10:$A$13,A59)))</f>
        <v>3.0806163663072028</v>
      </c>
      <c r="L59" s="8">
        <f>IF(J59="","",IF(SUMIFS('Facturas y gastos'!$D$10:$D$13,'Facturas y gastos'!$A$10:$A$13,A59)=0,"",J59*SUMIFS('Facturas y gastos'!$H$10:$H$13,'Facturas y gastos'!$A$10:$A$13,A59)/SUMIFS('Facturas y gastos'!$D$10:$D$13,'Facturas y gastos'!$A$10:$A$13,A59)))</f>
        <v>9.2417809059749274</v>
      </c>
      <c r="M59" s="8">
        <f>IF(J59="","",IF(SUMIFS('Facturas y gastos'!$D$10:$D$13,'Facturas y gastos'!$A$10:$A$13,A59)=0,"",J59*SUMIFS('Facturas y gastos'!$I$10:$I$13,'Facturas y gastos'!$A$10:$A$13,A59)/SUMIFS('Facturas y gastos'!$D$10:$D$13,'Facturas y gastos'!$A$10:$A$13,A59)))</f>
        <v>53.87242787786807</v>
      </c>
      <c r="N59" s="8">
        <f>IF(J59="","",IF(SUMIFS('Facturas y gastos'!$D$10:$D$13,'Facturas y gastos'!$A$10:$A$13,A59)=0,"",J59*SUMIFS('Facturas y gastos'!$J$10:$J$13,'Facturas y gastos'!$A$10:$A$13,A59)/SUMIFS('Facturas y gastos'!$D$10:$D$13,'Facturas y gastos'!$A$10:$A$13,A59)))</f>
        <v>0</v>
      </c>
      <c r="O59" s="8">
        <f t="shared" si="0"/>
        <v>368.09359241753572</v>
      </c>
      <c r="P59" s="8" t="str">
        <f>IF(OR(O59="",'Facturas y gastos'!$B$24="",'Facturas y gastos'!$B$45&lt;&gt;"OK",SUM($O$8:$O$657)=0),"",O59*'Facturas y gastos'!$B$43/SUM($O$8:$O$657))</f>
        <v/>
      </c>
      <c r="Q59" s="8" t="str">
        <f>IF(OR(O59="",'Facturas y gastos'!$B$5="",P59=""),"",O59*'Facturas y gastos'!$B$5+P59)</f>
        <v/>
      </c>
      <c r="R59" s="8" t="str">
        <f t="shared" si="1"/>
        <v/>
      </c>
    </row>
    <row r="60" spans="1:18">
      <c r="A60" s="25" t="s">
        <v>58</v>
      </c>
      <c r="B60" s="25">
        <v>53</v>
      </c>
      <c r="C60" s="25" t="s">
        <v>175</v>
      </c>
      <c r="D60" s="25" t="s">
        <v>176</v>
      </c>
      <c r="E60" s="25" t="s">
        <v>108</v>
      </c>
      <c r="F60" s="27">
        <v>216</v>
      </c>
      <c r="G60" s="27">
        <v>3</v>
      </c>
      <c r="H60" s="29">
        <v>1.46</v>
      </c>
      <c r="I60" s="29">
        <v>315.94</v>
      </c>
      <c r="J60" s="8">
        <f>IF(OR(A60="",I60=""),"",IF(SUMIFS($I$8:$I$657,$A$8:$A$657,A60)=0,"",I60*SUMIFS('Facturas y gastos'!$D$10:$D$13,'Facturas y gastos'!$A$10:$A$13,A60)/SUMIFS($I$8:$I$657,$A$8:$A$657,A60)))</f>
        <v>315.93999999999994</v>
      </c>
      <c r="K60" s="8">
        <f>IF(J60="","",IF(SUMIFS('Facturas y gastos'!$D$10:$D$13,'Facturas y gastos'!$A$10:$A$13,A60)=0,"",J60*SUMIFS('Facturas y gastos'!$G$10:$G$13,'Facturas y gastos'!$A$10:$A$13,A60)/SUMIFS('Facturas y gastos'!$D$10:$D$13,'Facturas y gastos'!$A$10:$A$13,A60)))</f>
        <v>3.1594167849480539</v>
      </c>
      <c r="L60" s="8">
        <f>IF(J60="","",IF(SUMIFS('Facturas y gastos'!$D$10:$D$13,'Facturas y gastos'!$A$10:$A$13,A60)=0,"",J60*SUMIFS('Facturas y gastos'!$H$10:$H$13,'Facturas y gastos'!$A$10:$A$13,A60)/SUMIFS('Facturas y gastos'!$D$10:$D$13,'Facturas y gastos'!$A$10:$A$13,A60)))</f>
        <v>9.4781804175606013</v>
      </c>
      <c r="M60" s="8">
        <f>IF(J60="","",IF(SUMIFS('Facturas y gastos'!$D$10:$D$13,'Facturas y gastos'!$A$10:$A$13,A60)=0,"",J60*SUMIFS('Facturas y gastos'!$I$10:$I$13,'Facturas y gastos'!$A$10:$A$13,A60)/SUMIFS('Facturas y gastos'!$D$10:$D$13,'Facturas y gastos'!$A$10:$A$13,A60)))</f>
        <v>55.250454014586893</v>
      </c>
      <c r="N60" s="8">
        <f>IF(J60="","",IF(SUMIFS('Facturas y gastos'!$D$10:$D$13,'Facturas y gastos'!$A$10:$A$13,A60)=0,"",J60*SUMIFS('Facturas y gastos'!$J$10:$J$13,'Facturas y gastos'!$A$10:$A$13,A60)/SUMIFS('Facturas y gastos'!$D$10:$D$13,'Facturas y gastos'!$A$10:$A$13,A60)))</f>
        <v>0</v>
      </c>
      <c r="O60" s="8">
        <f t="shared" si="0"/>
        <v>377.50921764719942</v>
      </c>
      <c r="P60" s="8" t="str">
        <f>IF(OR(O60="",'Facturas y gastos'!$B$24="",'Facturas y gastos'!$B$45&lt;&gt;"OK",SUM($O$8:$O$657)=0),"",O60*'Facturas y gastos'!$B$43/SUM($O$8:$O$657))</f>
        <v/>
      </c>
      <c r="Q60" s="8" t="str">
        <f>IF(OR(O60="",'Facturas y gastos'!$B$5="",P60=""),"",O60*'Facturas y gastos'!$B$5+P60)</f>
        <v/>
      </c>
      <c r="R60" s="8" t="str">
        <f t="shared" si="1"/>
        <v/>
      </c>
    </row>
    <row r="61" spans="1:18">
      <c r="A61" s="25" t="s">
        <v>58</v>
      </c>
      <c r="B61" s="25">
        <v>54</v>
      </c>
      <c r="C61" s="25" t="s">
        <v>177</v>
      </c>
      <c r="D61" s="25" t="s">
        <v>176</v>
      </c>
      <c r="E61" s="25" t="s">
        <v>108</v>
      </c>
      <c r="F61" s="27">
        <v>432</v>
      </c>
      <c r="G61" s="27">
        <v>3</v>
      </c>
      <c r="H61" s="29">
        <v>1.43</v>
      </c>
      <c r="I61" s="29">
        <v>618.99</v>
      </c>
      <c r="J61" s="8">
        <f>IF(OR(A61="",I61=""),"",IF(SUMIFS($I$8:$I$657,$A$8:$A$657,A61)=0,"",I61*SUMIFS('Facturas y gastos'!$D$10:$D$13,'Facturas y gastos'!$A$10:$A$13,A61)/SUMIFS($I$8:$I$657,$A$8:$A$657,A61)))</f>
        <v>618.9899999999999</v>
      </c>
      <c r="K61" s="8">
        <f>IF(J61="","",IF(SUMIFS('Facturas y gastos'!$D$10:$D$13,'Facturas y gastos'!$A$10:$A$13,A61)=0,"",J61*SUMIFS('Facturas y gastos'!$G$10:$G$13,'Facturas y gastos'!$A$10:$A$13,A61)/SUMIFS('Facturas y gastos'!$D$10:$D$13,'Facturas y gastos'!$A$10:$A$13,A61)))</f>
        <v>6.1899328850889281</v>
      </c>
      <c r="L61" s="8">
        <f>IF(J61="","",IF(SUMIFS('Facturas y gastos'!$D$10:$D$13,'Facturas y gastos'!$A$10:$A$13,A61)=0,"",J61*SUMIFS('Facturas y gastos'!$H$10:$H$13,'Facturas y gastos'!$A$10:$A$13,A61)/SUMIFS('Facturas y gastos'!$D$10:$D$13,'Facturas y gastos'!$A$10:$A$13,A61)))</f>
        <v>18.569661634062911</v>
      </c>
      <c r="M61" s="8">
        <f>IF(J61="","",IF(SUMIFS('Facturas y gastos'!$D$10:$D$13,'Facturas y gastos'!$A$10:$A$13,A61)=0,"",J61*SUMIFS('Facturas y gastos'!$I$10:$I$13,'Facturas y gastos'!$A$10:$A$13,A61)/SUMIFS('Facturas y gastos'!$D$10:$D$13,'Facturas y gastos'!$A$10:$A$13,A61)))</f>
        <v>108.24675106187613</v>
      </c>
      <c r="N61" s="8">
        <f>IF(J61="","",IF(SUMIFS('Facturas y gastos'!$D$10:$D$13,'Facturas y gastos'!$A$10:$A$13,A61)=0,"",J61*SUMIFS('Facturas y gastos'!$J$10:$J$13,'Facturas y gastos'!$A$10:$A$13,A61)/SUMIFS('Facturas y gastos'!$D$10:$D$13,'Facturas y gastos'!$A$10:$A$13,A61)))</f>
        <v>0</v>
      </c>
      <c r="O61" s="8">
        <f t="shared" si="0"/>
        <v>739.61647981084991</v>
      </c>
      <c r="P61" s="8" t="str">
        <f>IF(OR(O61="",'Facturas y gastos'!$B$24="",'Facturas y gastos'!$B$45&lt;&gt;"OK",SUM($O$8:$O$657)=0),"",O61*'Facturas y gastos'!$B$43/SUM($O$8:$O$657))</f>
        <v/>
      </c>
      <c r="Q61" s="8" t="str">
        <f>IF(OR(O61="",'Facturas y gastos'!$B$5="",P61=""),"",O61*'Facturas y gastos'!$B$5+P61)</f>
        <v/>
      </c>
      <c r="R61" s="8" t="str">
        <f t="shared" si="1"/>
        <v/>
      </c>
    </row>
    <row r="62" spans="1:18">
      <c r="A62" s="25" t="s">
        <v>58</v>
      </c>
      <c r="B62" s="25">
        <v>55</v>
      </c>
      <c r="C62" s="25" t="s">
        <v>178</v>
      </c>
      <c r="D62" s="25" t="s">
        <v>176</v>
      </c>
      <c r="E62" s="25" t="s">
        <v>108</v>
      </c>
      <c r="F62" s="27">
        <v>288</v>
      </c>
      <c r="G62" s="27">
        <v>3</v>
      </c>
      <c r="H62" s="29">
        <v>2.09</v>
      </c>
      <c r="I62" s="29">
        <v>601.79</v>
      </c>
      <c r="J62" s="8">
        <f>IF(OR(A62="",I62=""),"",IF(SUMIFS($I$8:$I$657,$A$8:$A$657,A62)=0,"",I62*SUMIFS('Facturas y gastos'!$D$10:$D$13,'Facturas y gastos'!$A$10:$A$13,A62)/SUMIFS($I$8:$I$657,$A$8:$A$657,A62)))</f>
        <v>601.78999999999985</v>
      </c>
      <c r="K62" s="8">
        <f>IF(J62="","",IF(SUMIFS('Facturas y gastos'!$D$10:$D$13,'Facturas y gastos'!$A$10:$A$13,A62)=0,"",J62*SUMIFS('Facturas y gastos'!$G$10:$G$13,'Facturas y gastos'!$A$10:$A$13,A62)/SUMIFS('Facturas y gastos'!$D$10:$D$13,'Facturas y gastos'!$A$10:$A$13,A62)))</f>
        <v>6.0179319713043284</v>
      </c>
      <c r="L62" s="8">
        <f>IF(J62="","",IF(SUMIFS('Facturas y gastos'!$D$10:$D$13,'Facturas y gastos'!$A$10:$A$13,A62)=0,"",J62*SUMIFS('Facturas y gastos'!$H$10:$H$13,'Facturas y gastos'!$A$10:$A$13,A62)/SUMIFS('Facturas y gastos'!$D$10:$D$13,'Facturas y gastos'!$A$10:$A$13,A62)))</f>
        <v>18.05366270014494</v>
      </c>
      <c r="M62" s="8">
        <f>IF(J62="","",IF(SUMIFS('Facturas y gastos'!$D$10:$D$13,'Facturas y gastos'!$A$10:$A$13,A62)=0,"",J62*SUMIFS('Facturas y gastos'!$I$10:$I$13,'Facturas y gastos'!$A$10:$A$13,A62)/SUMIFS('Facturas y gastos'!$D$10:$D$13,'Facturas y gastos'!$A$10:$A$13,A62)))</f>
        <v>105.23887675330204</v>
      </c>
      <c r="N62" s="8">
        <f>IF(J62="","",IF(SUMIFS('Facturas y gastos'!$D$10:$D$13,'Facturas y gastos'!$A$10:$A$13,A62)=0,"",J62*SUMIFS('Facturas y gastos'!$J$10:$J$13,'Facturas y gastos'!$A$10:$A$13,A62)/SUMIFS('Facturas y gastos'!$D$10:$D$13,'Facturas y gastos'!$A$10:$A$13,A62)))</f>
        <v>0</v>
      </c>
      <c r="O62" s="8">
        <f t="shared" si="0"/>
        <v>719.06460748214261</v>
      </c>
      <c r="P62" s="8" t="str">
        <f>IF(OR(O62="",'Facturas y gastos'!$B$24="",'Facturas y gastos'!$B$45&lt;&gt;"OK",SUM($O$8:$O$657)=0),"",O62*'Facturas y gastos'!$B$43/SUM($O$8:$O$657))</f>
        <v/>
      </c>
      <c r="Q62" s="8" t="str">
        <f>IF(OR(O62="",'Facturas y gastos'!$B$5="",P62=""),"",O62*'Facturas y gastos'!$B$5+P62)</f>
        <v/>
      </c>
      <c r="R62" s="8" t="str">
        <f t="shared" si="1"/>
        <v/>
      </c>
    </row>
    <row r="63" spans="1:18">
      <c r="A63" s="25" t="s">
        <v>58</v>
      </c>
      <c r="B63" s="25">
        <v>56</v>
      </c>
      <c r="C63" s="25" t="s">
        <v>179</v>
      </c>
      <c r="D63" s="25" t="s">
        <v>176</v>
      </c>
      <c r="E63" s="25" t="s">
        <v>108</v>
      </c>
      <c r="F63" s="27">
        <v>432</v>
      </c>
      <c r="G63" s="27">
        <v>3</v>
      </c>
      <c r="H63" s="29">
        <v>1.42</v>
      </c>
      <c r="I63" s="29">
        <v>612.54</v>
      </c>
      <c r="J63" s="8">
        <f>IF(OR(A63="",I63=""),"",IF(SUMIFS($I$8:$I$657,$A$8:$A$657,A63)=0,"",I63*SUMIFS('Facturas y gastos'!$D$10:$D$13,'Facturas y gastos'!$A$10:$A$13,A63)/SUMIFS($I$8:$I$657,$A$8:$A$657,A63)))</f>
        <v>612.53999999999985</v>
      </c>
      <c r="K63" s="8">
        <f>IF(J63="","",IF(SUMIFS('Facturas y gastos'!$D$10:$D$13,'Facturas y gastos'!$A$10:$A$13,A63)=0,"",J63*SUMIFS('Facturas y gastos'!$G$10:$G$13,'Facturas y gastos'!$A$10:$A$13,A63)/SUMIFS('Facturas y gastos'!$D$10:$D$13,'Facturas y gastos'!$A$10:$A$13,A63)))</f>
        <v>6.1254325424197038</v>
      </c>
      <c r="L63" s="8">
        <f>IF(J63="","",IF(SUMIFS('Facturas y gastos'!$D$10:$D$13,'Facturas y gastos'!$A$10:$A$13,A63)=0,"",J63*SUMIFS('Facturas y gastos'!$H$10:$H$13,'Facturas y gastos'!$A$10:$A$13,A63)/SUMIFS('Facturas y gastos'!$D$10:$D$13,'Facturas y gastos'!$A$10:$A$13,A63)))</f>
        <v>18.376162033843674</v>
      </c>
      <c r="M63" s="8">
        <f>IF(J63="","",IF(SUMIFS('Facturas y gastos'!$D$10:$D$13,'Facturas y gastos'!$A$10:$A$13,A63)=0,"",J63*SUMIFS('Facturas y gastos'!$I$10:$I$13,'Facturas y gastos'!$A$10:$A$13,A63)/SUMIFS('Facturas y gastos'!$D$10:$D$13,'Facturas y gastos'!$A$10:$A$13,A63)))</f>
        <v>107.11879819616084</v>
      </c>
      <c r="N63" s="8">
        <f>IF(J63="","",IF(SUMIFS('Facturas y gastos'!$D$10:$D$13,'Facturas y gastos'!$A$10:$A$13,A63)=0,"",J63*SUMIFS('Facturas y gastos'!$J$10:$J$13,'Facturas y gastos'!$A$10:$A$13,A63)/SUMIFS('Facturas y gastos'!$D$10:$D$13,'Facturas y gastos'!$A$10:$A$13,A63)))</f>
        <v>0</v>
      </c>
      <c r="O63" s="8">
        <f t="shared" si="0"/>
        <v>731.90952768758461</v>
      </c>
      <c r="P63" s="8" t="str">
        <f>IF(OR(O63="",'Facturas y gastos'!$B$24="",'Facturas y gastos'!$B$45&lt;&gt;"OK",SUM($O$8:$O$657)=0),"",O63*'Facturas y gastos'!$B$43/SUM($O$8:$O$657))</f>
        <v/>
      </c>
      <c r="Q63" s="8" t="str">
        <f>IF(OR(O63="",'Facturas y gastos'!$B$5="",P63=""),"",O63*'Facturas y gastos'!$B$5+P63)</f>
        <v/>
      </c>
      <c r="R63" s="8" t="str">
        <f t="shared" si="1"/>
        <v/>
      </c>
    </row>
    <row r="64" spans="1:18">
      <c r="A64" s="25" t="s">
        <v>58</v>
      </c>
      <c r="B64" s="25">
        <v>57</v>
      </c>
      <c r="C64" s="25" t="s">
        <v>180</v>
      </c>
      <c r="D64" s="25" t="s">
        <v>181</v>
      </c>
      <c r="E64" s="25" t="s">
        <v>108</v>
      </c>
      <c r="F64" s="27">
        <v>200</v>
      </c>
      <c r="G64" s="27">
        <v>2</v>
      </c>
      <c r="H64" s="29">
        <v>2.61</v>
      </c>
      <c r="I64" s="29">
        <v>522.39</v>
      </c>
      <c r="J64" s="8">
        <f>IF(OR(A64="",I64=""),"",IF(SUMIFS($I$8:$I$657,$A$8:$A$657,A64)=0,"",I64*SUMIFS('Facturas y gastos'!$D$10:$D$13,'Facturas y gastos'!$A$10:$A$13,A64)/SUMIFS($I$8:$I$657,$A$8:$A$657,A64)))</f>
        <v>522.38999999999987</v>
      </c>
      <c r="K64" s="8">
        <f>IF(J64="","",IF(SUMIFS('Facturas y gastos'!$D$10:$D$13,'Facturas y gastos'!$A$10:$A$13,A64)=0,"",J64*SUMIFS('Facturas y gastos'!$G$10:$G$13,'Facturas y gastos'!$A$10:$A$13,A64)/SUMIFS('Facturas y gastos'!$D$10:$D$13,'Facturas y gastos'!$A$10:$A$13,A64)))</f>
        <v>5.2239277530196047</v>
      </c>
      <c r="L64" s="8">
        <f>IF(J64="","",IF(SUMIFS('Facturas y gastos'!$D$10:$D$13,'Facturas y gastos'!$A$10:$A$13,A64)=0,"",J64*SUMIFS('Facturas y gastos'!$H$10:$H$13,'Facturas y gastos'!$A$10:$A$13,A64)/SUMIFS('Facturas y gastos'!$D$10:$D$13,'Facturas y gastos'!$A$10:$A$13,A64)))</f>
        <v>15.671667621477123</v>
      </c>
      <c r="M64" s="8">
        <f>IF(J64="","",IF(SUMIFS('Facturas y gastos'!$D$10:$D$13,'Facturas y gastos'!$A$10:$A$13,A64)=0,"",J64*SUMIFS('Facturas y gastos'!$I$10:$I$13,'Facturas y gastos'!$A$10:$A$13,A64)/SUMIFS('Facturas y gastos'!$D$10:$D$13,'Facturas y gastos'!$A$10:$A$13,A64)))</f>
        <v>91.353689538140301</v>
      </c>
      <c r="N64" s="8">
        <f>IF(J64="","",IF(SUMIFS('Facturas y gastos'!$D$10:$D$13,'Facturas y gastos'!$A$10:$A$13,A64)=0,"",J64*SUMIFS('Facturas y gastos'!$J$10:$J$13,'Facturas y gastos'!$A$10:$A$13,A64)/SUMIFS('Facturas y gastos'!$D$10:$D$13,'Facturas y gastos'!$A$10:$A$13,A64)))</f>
        <v>0</v>
      </c>
      <c r="O64" s="8">
        <f t="shared" si="0"/>
        <v>624.19142940659776</v>
      </c>
      <c r="P64" s="8" t="str">
        <f>IF(OR(O64="",'Facturas y gastos'!$B$24="",'Facturas y gastos'!$B$45&lt;&gt;"OK",SUM($O$8:$O$657)=0),"",O64*'Facturas y gastos'!$B$43/SUM($O$8:$O$657))</f>
        <v/>
      </c>
      <c r="Q64" s="8" t="str">
        <f>IF(OR(O64="",'Facturas y gastos'!$B$5="",P64=""),"",O64*'Facturas y gastos'!$B$5+P64)</f>
        <v/>
      </c>
      <c r="R64" s="8" t="str">
        <f t="shared" si="1"/>
        <v/>
      </c>
    </row>
    <row r="65" spans="1:18">
      <c r="A65" s="25" t="s">
        <v>58</v>
      </c>
      <c r="B65" s="25">
        <v>58</v>
      </c>
      <c r="C65" s="25" t="s">
        <v>182</v>
      </c>
      <c r="D65" s="25" t="s">
        <v>181</v>
      </c>
      <c r="E65" s="25" t="s">
        <v>108</v>
      </c>
      <c r="F65" s="27">
        <v>160</v>
      </c>
      <c r="G65" s="27">
        <v>2</v>
      </c>
      <c r="H65" s="29">
        <v>2.93</v>
      </c>
      <c r="I65" s="29">
        <v>468.06</v>
      </c>
      <c r="J65" s="8">
        <f>IF(OR(A65="",I65=""),"",IF(SUMIFS($I$8:$I$657,$A$8:$A$657,A65)=0,"",I65*SUMIFS('Facturas y gastos'!$D$10:$D$13,'Facturas y gastos'!$A$10:$A$13,A65)/SUMIFS($I$8:$I$657,$A$8:$A$657,A65)))</f>
        <v>468.05999999999995</v>
      </c>
      <c r="K65" s="8">
        <f>IF(J65="","",IF(SUMIFS('Facturas y gastos'!$D$10:$D$13,'Facturas y gastos'!$A$10:$A$13,A65)=0,"",J65*SUMIFS('Facturas y gastos'!$G$10:$G$13,'Facturas y gastos'!$A$10:$A$13,A65)/SUMIFS('Facturas y gastos'!$D$10:$D$13,'Facturas y gastos'!$A$10:$A$13,A65)))</f>
        <v>4.6806248666290635</v>
      </c>
      <c r="L65" s="8">
        <f>IF(J65="","",IF(SUMIFS('Facturas y gastos'!$D$10:$D$13,'Facturas y gastos'!$A$10:$A$13,A65)=0,"",J65*SUMIFS('Facturas y gastos'!$H$10:$H$13,'Facturas y gastos'!$A$10:$A$13,A65)/SUMIFS('Facturas y gastos'!$D$10:$D$13,'Facturas y gastos'!$A$10:$A$13,A65)))</f>
        <v>14.041770988932758</v>
      </c>
      <c r="M65" s="8">
        <f>IF(J65="","",IF(SUMIFS('Facturas y gastos'!$D$10:$D$13,'Facturas y gastos'!$A$10:$A$13,A65)=0,"",J65*SUMIFS('Facturas y gastos'!$I$10:$I$13,'Facturas y gastos'!$A$10:$A$13,A65)/SUMIFS('Facturas y gastos'!$D$10:$D$13,'Facturas y gastos'!$A$10:$A$13,A65)))</f>
        <v>81.852654004138586</v>
      </c>
      <c r="N65" s="8">
        <f>IF(J65="","",IF(SUMIFS('Facturas y gastos'!$D$10:$D$13,'Facturas y gastos'!$A$10:$A$13,A65)=0,"",J65*SUMIFS('Facturas y gastos'!$J$10:$J$13,'Facturas y gastos'!$A$10:$A$13,A65)/SUMIFS('Facturas y gastos'!$D$10:$D$13,'Facturas y gastos'!$A$10:$A$13,A65)))</f>
        <v>0</v>
      </c>
      <c r="O65" s="8">
        <f t="shared" si="0"/>
        <v>559.27380012644221</v>
      </c>
      <c r="P65" s="8" t="str">
        <f>IF(OR(O65="",'Facturas y gastos'!$B$24="",'Facturas y gastos'!$B$45&lt;&gt;"OK",SUM($O$8:$O$657)=0),"",O65*'Facturas y gastos'!$B$43/SUM($O$8:$O$657))</f>
        <v/>
      </c>
      <c r="Q65" s="8" t="str">
        <f>IF(OR(O65="",'Facturas y gastos'!$B$5="",P65=""),"",O65*'Facturas y gastos'!$B$5+P65)</f>
        <v/>
      </c>
      <c r="R65" s="8" t="str">
        <f t="shared" si="1"/>
        <v/>
      </c>
    </row>
    <row r="66" spans="1:18">
      <c r="A66" s="25" t="s">
        <v>58</v>
      </c>
      <c r="B66" s="25">
        <v>59</v>
      </c>
      <c r="C66" s="25" t="s">
        <v>183</v>
      </c>
      <c r="D66" s="25" t="s">
        <v>181</v>
      </c>
      <c r="E66" s="25" t="s">
        <v>108</v>
      </c>
      <c r="F66" s="27">
        <v>160</v>
      </c>
      <c r="G66" s="27">
        <v>2</v>
      </c>
      <c r="H66" s="29">
        <v>2.76</v>
      </c>
      <c r="I66" s="29">
        <v>441.79</v>
      </c>
      <c r="J66" s="8">
        <f>IF(OR(A66="",I66=""),"",IF(SUMIFS($I$8:$I$657,$A$8:$A$657,A66)=0,"",I66*SUMIFS('Facturas y gastos'!$D$10:$D$13,'Facturas y gastos'!$A$10:$A$13,A66)/SUMIFS($I$8:$I$657,$A$8:$A$657,A66)))</f>
        <v>441.78999999999996</v>
      </c>
      <c r="K66" s="8">
        <f>IF(J66="","",IF(SUMIFS('Facturas y gastos'!$D$10:$D$13,'Facturas y gastos'!$A$10:$A$13,A66)=0,"",J66*SUMIFS('Facturas y gastos'!$G$10:$G$13,'Facturas y gastos'!$A$10:$A$13,A66)/SUMIFS('Facturas y gastos'!$D$10:$D$13,'Facturas y gastos'!$A$10:$A$13,A66)))</f>
        <v>4.4179234709824682</v>
      </c>
      <c r="L66" s="8">
        <f>IF(J66="","",IF(SUMIFS('Facturas y gastos'!$D$10:$D$13,'Facturas y gastos'!$A$10:$A$13,A66)=0,"",J66*SUMIFS('Facturas y gastos'!$H$10:$H$13,'Facturas y gastos'!$A$10:$A$13,A66)/SUMIFS('Facturas y gastos'!$D$10:$D$13,'Facturas y gastos'!$A$10:$A$13,A66)))</f>
        <v>13.253672617187117</v>
      </c>
      <c r="M66" s="8">
        <f>IF(J66="","",IF(SUMIFS('Facturas y gastos'!$D$10:$D$13,'Facturas y gastos'!$A$10:$A$13,A66)=0,"",J66*SUMIFS('Facturas y gastos'!$I$10:$I$13,'Facturas y gastos'!$A$10:$A$13,A66)/SUMIFS('Facturas y gastos'!$D$10:$D$13,'Facturas y gastos'!$A$10:$A$13,A66)))</f>
        <v>77.258650627031543</v>
      </c>
      <c r="N66" s="8">
        <f>IF(J66="","",IF(SUMIFS('Facturas y gastos'!$D$10:$D$13,'Facturas y gastos'!$A$10:$A$13,A66)=0,"",J66*SUMIFS('Facturas y gastos'!$J$10:$J$13,'Facturas y gastos'!$A$10:$A$13,A66)/SUMIFS('Facturas y gastos'!$D$10:$D$13,'Facturas y gastos'!$A$10:$A$13,A66)))</f>
        <v>0</v>
      </c>
      <c r="O66" s="8">
        <f t="shared" si="0"/>
        <v>527.88439977323617</v>
      </c>
      <c r="P66" s="8" t="str">
        <f>IF(OR(O66="",'Facturas y gastos'!$B$24="",'Facturas y gastos'!$B$45&lt;&gt;"OK",SUM($O$8:$O$657)=0),"",O66*'Facturas y gastos'!$B$43/SUM($O$8:$O$657))</f>
        <v/>
      </c>
      <c r="Q66" s="8" t="str">
        <f>IF(OR(O66="",'Facturas y gastos'!$B$5="",P66=""),"",O66*'Facturas y gastos'!$B$5+P66)</f>
        <v/>
      </c>
      <c r="R66" s="8" t="str">
        <f t="shared" si="1"/>
        <v/>
      </c>
    </row>
    <row r="67" spans="1:18">
      <c r="A67" s="25" t="s">
        <v>58</v>
      </c>
      <c r="B67" s="25">
        <v>60</v>
      </c>
      <c r="C67" s="25" t="s">
        <v>184</v>
      </c>
      <c r="D67" s="25" t="s">
        <v>181</v>
      </c>
      <c r="E67" s="25" t="s">
        <v>108</v>
      </c>
      <c r="F67" s="27">
        <v>384</v>
      </c>
      <c r="G67" s="27">
        <v>2</v>
      </c>
      <c r="H67" s="29">
        <v>1.01</v>
      </c>
      <c r="I67" s="29">
        <v>389.73</v>
      </c>
      <c r="J67" s="8">
        <f>IF(OR(A67="",I67=""),"",IF(SUMIFS($I$8:$I$657,$A$8:$A$657,A67)=0,"",I67*SUMIFS('Facturas y gastos'!$D$10:$D$13,'Facturas y gastos'!$A$10:$A$13,A67)/SUMIFS($I$8:$I$657,$A$8:$A$657,A67)))</f>
        <v>389.7299999999999</v>
      </c>
      <c r="K67" s="8">
        <f>IF(J67="","",IF(SUMIFS('Facturas y gastos'!$D$10:$D$13,'Facturas y gastos'!$A$10:$A$13,A67)=0,"",J67*SUMIFS('Facturas y gastos'!$G$10:$G$13,'Facturas y gastos'!$A$10:$A$13,A67)/SUMIFS('Facturas y gastos'!$D$10:$D$13,'Facturas y gastos'!$A$10:$A$13,A67)))</f>
        <v>3.8973207051902423</v>
      </c>
      <c r="L67" s="8">
        <f>IF(J67="","",IF(SUMIFS('Facturas y gastos'!$D$10:$D$13,'Facturas y gastos'!$A$10:$A$13,A67)=0,"",J67*SUMIFS('Facturas y gastos'!$H$10:$H$13,'Facturas y gastos'!$A$10:$A$13,A67)/SUMIFS('Facturas y gastos'!$D$10:$D$13,'Facturas y gastos'!$A$10:$A$13,A67)))</f>
        <v>11.691875843944711</v>
      </c>
      <c r="M67" s="8">
        <f>IF(J67="","",IF(SUMIFS('Facturas y gastos'!$D$10:$D$13,'Facturas y gastos'!$A$10:$A$13,A67)=0,"",J67*SUMIFS('Facturas y gastos'!$I$10:$I$13,'Facturas y gastos'!$A$10:$A$13,A67)/SUMIFS('Facturas y gastos'!$D$10:$D$13,'Facturas y gastos'!$A$10:$A$13,A67)))</f>
        <v>68.154584551196265</v>
      </c>
      <c r="N67" s="8">
        <f>IF(J67="","",IF(SUMIFS('Facturas y gastos'!$D$10:$D$13,'Facturas y gastos'!$A$10:$A$13,A67)=0,"",J67*SUMIFS('Facturas y gastos'!$J$10:$J$13,'Facturas y gastos'!$A$10:$A$13,A67)/SUMIFS('Facturas y gastos'!$D$10:$D$13,'Facturas y gastos'!$A$10:$A$13,A67)))</f>
        <v>0</v>
      </c>
      <c r="O67" s="8">
        <f t="shared" si="0"/>
        <v>465.67913968995066</v>
      </c>
      <c r="P67" s="8" t="str">
        <f>IF(OR(O67="",'Facturas y gastos'!$B$24="",'Facturas y gastos'!$B$45&lt;&gt;"OK",SUM($O$8:$O$657)=0),"",O67*'Facturas y gastos'!$B$43/SUM($O$8:$O$657))</f>
        <v/>
      </c>
      <c r="Q67" s="8" t="str">
        <f>IF(OR(O67="",'Facturas y gastos'!$B$5="",P67=""),"",O67*'Facturas y gastos'!$B$5+P67)</f>
        <v/>
      </c>
      <c r="R67" s="8" t="str">
        <f t="shared" si="1"/>
        <v/>
      </c>
    </row>
    <row r="68" spans="1:18">
      <c r="A68" s="25" t="s">
        <v>58</v>
      </c>
      <c r="B68" s="25">
        <v>61</v>
      </c>
      <c r="C68" s="25" t="s">
        <v>185</v>
      </c>
      <c r="D68" s="25" t="s">
        <v>121</v>
      </c>
      <c r="E68" s="25" t="s">
        <v>108</v>
      </c>
      <c r="F68" s="27">
        <v>24</v>
      </c>
      <c r="G68" s="27">
        <v>2</v>
      </c>
      <c r="H68" s="29">
        <v>13.16</v>
      </c>
      <c r="I68" s="29">
        <v>315.83999999999997</v>
      </c>
      <c r="J68" s="8">
        <f>IF(OR(A68="",I68=""),"",IF(SUMIFS($I$8:$I$657,$A$8:$A$657,A68)=0,"",I68*SUMIFS('Facturas y gastos'!$D$10:$D$13,'Facturas y gastos'!$A$10:$A$13,A68)/SUMIFS($I$8:$I$657,$A$8:$A$657,A68)))</f>
        <v>315.83999999999992</v>
      </c>
      <c r="K68" s="8">
        <f>IF(J68="","",IF(SUMIFS('Facturas y gastos'!$D$10:$D$13,'Facturas y gastos'!$A$10:$A$13,A68)=0,"",J68*SUMIFS('Facturas y gastos'!$G$10:$G$13,'Facturas y gastos'!$A$10:$A$13,A68)/SUMIFS('Facturas y gastos'!$D$10:$D$13,'Facturas y gastos'!$A$10:$A$13,A68)))</f>
        <v>3.1584167796353531</v>
      </c>
      <c r="L68" s="8">
        <f>IF(J68="","",IF(SUMIFS('Facturas y gastos'!$D$10:$D$13,'Facturas y gastos'!$A$10:$A$13,A68)=0,"",J68*SUMIFS('Facturas y gastos'!$H$10:$H$13,'Facturas y gastos'!$A$10:$A$13,A68)/SUMIFS('Facturas y gastos'!$D$10:$D$13,'Facturas y gastos'!$A$10:$A$13,A68)))</f>
        <v>9.4751804237587507</v>
      </c>
      <c r="M68" s="8">
        <f>IF(J68="","",IF(SUMIFS('Facturas y gastos'!$D$10:$D$13,'Facturas y gastos'!$A$10:$A$13,A68)=0,"",J68*SUMIFS('Facturas y gastos'!$I$10:$I$13,'Facturas y gastos'!$A$10:$A$13,A68)/SUMIFS('Facturas y gastos'!$D$10:$D$13,'Facturas y gastos'!$A$10:$A$13,A68)))</f>
        <v>55.232966373257973</v>
      </c>
      <c r="N68" s="8">
        <f>IF(J68="","",IF(SUMIFS('Facturas y gastos'!$D$10:$D$13,'Facturas y gastos'!$A$10:$A$13,A68)=0,"",J68*SUMIFS('Facturas y gastos'!$J$10:$J$13,'Facturas y gastos'!$A$10:$A$13,A68)/SUMIFS('Facturas y gastos'!$D$10:$D$13,'Facturas y gastos'!$A$10:$A$13,A68)))</f>
        <v>0</v>
      </c>
      <c r="O68" s="8">
        <f t="shared" si="0"/>
        <v>377.38973001738128</v>
      </c>
      <c r="P68" s="8" t="str">
        <f>IF(OR(O68="",'Facturas y gastos'!$B$24="",'Facturas y gastos'!$B$45&lt;&gt;"OK",SUM($O$8:$O$657)=0),"",O68*'Facturas y gastos'!$B$43/SUM($O$8:$O$657))</f>
        <v/>
      </c>
      <c r="Q68" s="8" t="str">
        <f>IF(OR(O68="",'Facturas y gastos'!$B$5="",P68=""),"",O68*'Facturas y gastos'!$B$5+P68)</f>
        <v/>
      </c>
      <c r="R68" s="8" t="str">
        <f t="shared" si="1"/>
        <v/>
      </c>
    </row>
    <row r="69" spans="1:18">
      <c r="A69" s="25" t="s">
        <v>58</v>
      </c>
      <c r="B69" s="25">
        <v>62</v>
      </c>
      <c r="C69" s="25" t="s">
        <v>186</v>
      </c>
      <c r="D69" s="25" t="s">
        <v>121</v>
      </c>
      <c r="E69" s="25" t="s">
        <v>108</v>
      </c>
      <c r="F69" s="27">
        <v>24</v>
      </c>
      <c r="G69" s="27">
        <v>2</v>
      </c>
      <c r="H69" s="29">
        <v>9.11</v>
      </c>
      <c r="I69" s="29">
        <v>218.64</v>
      </c>
      <c r="J69" s="8">
        <f>IF(OR(A69="",I69=""),"",IF(SUMIFS($I$8:$I$657,$A$8:$A$657,A69)=0,"",I69*SUMIFS('Facturas y gastos'!$D$10:$D$13,'Facturas y gastos'!$A$10:$A$13,A69)/SUMIFS($I$8:$I$657,$A$8:$A$657,A69)))</f>
        <v>218.63999999999996</v>
      </c>
      <c r="K69" s="8">
        <f>IF(J69="","",IF(SUMIFS('Facturas y gastos'!$D$10:$D$13,'Facturas y gastos'!$A$10:$A$13,A69)=0,"",J69*SUMIFS('Facturas y gastos'!$G$10:$G$13,'Facturas y gastos'!$A$10:$A$13,A69)/SUMIFS('Facturas y gastos'!$D$10:$D$13,'Facturas y gastos'!$A$10:$A$13,A69)))</f>
        <v>2.1864116156898228</v>
      </c>
      <c r="L69" s="8">
        <f>IF(J69="","",IF(SUMIFS('Facturas y gastos'!$D$10:$D$13,'Facturas y gastos'!$A$10:$A$13,A69)=0,"",J69*SUMIFS('Facturas y gastos'!$H$10:$H$13,'Facturas y gastos'!$A$10:$A$13,A69)/SUMIFS('Facturas y gastos'!$D$10:$D$13,'Facturas y gastos'!$A$10:$A$13,A69)))</f>
        <v>6.5591864483618707</v>
      </c>
      <c r="M69" s="8">
        <f>IF(J69="","",IF(SUMIFS('Facturas y gastos'!$D$10:$D$13,'Facturas y gastos'!$A$10:$A$13,A69)=0,"",J69*SUMIFS('Facturas y gastos'!$I$10:$I$13,'Facturas y gastos'!$A$10:$A$13,A69)/SUMIFS('Facturas y gastos'!$D$10:$D$13,'Facturas y gastos'!$A$10:$A$13,A69)))</f>
        <v>38.234979001548645</v>
      </c>
      <c r="N69" s="8">
        <f>IF(J69="","",IF(SUMIFS('Facturas y gastos'!$D$10:$D$13,'Facturas y gastos'!$A$10:$A$13,A69)=0,"",J69*SUMIFS('Facturas y gastos'!$J$10:$J$13,'Facturas y gastos'!$A$10:$A$13,A69)/SUMIFS('Facturas y gastos'!$D$10:$D$13,'Facturas y gastos'!$A$10:$A$13,A69)))</f>
        <v>0</v>
      </c>
      <c r="O69" s="8">
        <f t="shared" si="0"/>
        <v>261.24775383422065</v>
      </c>
      <c r="P69" s="8" t="str">
        <f>IF(OR(O69="",'Facturas y gastos'!$B$24="",'Facturas y gastos'!$B$45&lt;&gt;"OK",SUM($O$8:$O$657)=0),"",O69*'Facturas y gastos'!$B$43/SUM($O$8:$O$657))</f>
        <v/>
      </c>
      <c r="Q69" s="8" t="str">
        <f>IF(OR(O69="",'Facturas y gastos'!$B$5="",P69=""),"",O69*'Facturas y gastos'!$B$5+P69)</f>
        <v/>
      </c>
      <c r="R69" s="8" t="str">
        <f t="shared" si="1"/>
        <v/>
      </c>
    </row>
    <row r="70" spans="1:18">
      <c r="A70" s="25" t="s">
        <v>58</v>
      </c>
      <c r="B70" s="25">
        <v>63</v>
      </c>
      <c r="C70" s="25" t="s">
        <v>187</v>
      </c>
      <c r="D70" s="25" t="s">
        <v>121</v>
      </c>
      <c r="E70" s="25" t="s">
        <v>108</v>
      </c>
      <c r="F70" s="27">
        <v>12</v>
      </c>
      <c r="G70" s="27">
        <v>2</v>
      </c>
      <c r="H70" s="29">
        <v>10.79</v>
      </c>
      <c r="I70" s="29">
        <v>129.47999999999999</v>
      </c>
      <c r="J70" s="8">
        <f>IF(OR(A70="",I70=""),"",IF(SUMIFS($I$8:$I$657,$A$8:$A$657,A70)=0,"",I70*SUMIFS('Facturas y gastos'!$D$10:$D$13,'Facturas y gastos'!$A$10:$A$13,A70)/SUMIFS($I$8:$I$657,$A$8:$A$657,A70)))</f>
        <v>129.47999999999999</v>
      </c>
      <c r="K70" s="8">
        <f>IF(J70="","",IF(SUMIFS('Facturas y gastos'!$D$10:$D$13,'Facturas y gastos'!$A$10:$A$13,A70)=0,"",J70*SUMIFS('Facturas y gastos'!$G$10:$G$13,'Facturas y gastos'!$A$10:$A$13,A70)/SUMIFS('Facturas y gastos'!$D$10:$D$13,'Facturas y gastos'!$A$10:$A$13,A70)))</f>
        <v>1.2948068788854661</v>
      </c>
      <c r="L70" s="8">
        <f>IF(J70="","",IF(SUMIFS('Facturas y gastos'!$D$10:$D$13,'Facturas y gastos'!$A$10:$A$13,A70)=0,"",J70*SUMIFS('Facturas y gastos'!$H$10:$H$13,'Facturas y gastos'!$A$10:$A$13,A70)/SUMIFS('Facturas y gastos'!$D$10:$D$13,'Facturas y gastos'!$A$10:$A$13,A70)))</f>
        <v>3.8843919746336222</v>
      </c>
      <c r="M70" s="8">
        <f>IF(J70="","",IF(SUMIFS('Facturas y gastos'!$D$10:$D$13,'Facturas y gastos'!$A$10:$A$13,A70)=0,"",J70*SUMIFS('Facturas y gastos'!$I$10:$I$13,'Facturas y gastos'!$A$10:$A$13,A70)/SUMIFS('Facturas y gastos'!$D$10:$D$13,'Facturas y gastos'!$A$10:$A$13,A70)))</f>
        <v>22.642997992684407</v>
      </c>
      <c r="N70" s="8">
        <f>IF(J70="","",IF(SUMIFS('Facturas y gastos'!$D$10:$D$13,'Facturas y gastos'!$A$10:$A$13,A70)=0,"",J70*SUMIFS('Facturas y gastos'!$J$10:$J$13,'Facturas y gastos'!$A$10:$A$13,A70)/SUMIFS('Facturas y gastos'!$D$10:$D$13,'Facturas y gastos'!$A$10:$A$13,A70)))</f>
        <v>0</v>
      </c>
      <c r="O70" s="8">
        <f t="shared" si="0"/>
        <v>154.71258308843255</v>
      </c>
      <c r="P70" s="8" t="str">
        <f>IF(OR(O70="",'Facturas y gastos'!$B$24="",'Facturas y gastos'!$B$45&lt;&gt;"OK",SUM($O$8:$O$657)=0),"",O70*'Facturas y gastos'!$B$43/SUM($O$8:$O$657))</f>
        <v/>
      </c>
      <c r="Q70" s="8" t="str">
        <f>IF(OR(O70="",'Facturas y gastos'!$B$5="",P70=""),"",O70*'Facturas y gastos'!$B$5+P70)</f>
        <v/>
      </c>
      <c r="R70" s="8" t="str">
        <f t="shared" si="1"/>
        <v/>
      </c>
    </row>
    <row r="71" spans="1:18">
      <c r="A71" s="25" t="s">
        <v>58</v>
      </c>
      <c r="B71" s="25">
        <v>64</v>
      </c>
      <c r="C71" s="25" t="s">
        <v>188</v>
      </c>
      <c r="D71" s="25" t="s">
        <v>189</v>
      </c>
      <c r="E71" s="25" t="s">
        <v>108</v>
      </c>
      <c r="F71" s="27">
        <v>180</v>
      </c>
      <c r="G71" s="27">
        <v>5</v>
      </c>
      <c r="H71" s="29">
        <v>3.04</v>
      </c>
      <c r="I71" s="29">
        <v>547.20000000000005</v>
      </c>
      <c r="J71" s="8">
        <f>IF(OR(A71="",I71=""),"",IF(SUMIFS($I$8:$I$657,$A$8:$A$657,A71)=0,"",I71*SUMIFS('Facturas y gastos'!$D$10:$D$13,'Facturas y gastos'!$A$10:$A$13,A71)/SUMIFS($I$8:$I$657,$A$8:$A$657,A71)))</f>
        <v>547.19999999999993</v>
      </c>
      <c r="K71" s="8">
        <f>IF(J71="","",IF(SUMIFS('Facturas y gastos'!$D$10:$D$13,'Facturas y gastos'!$A$10:$A$13,A71)=0,"",J71*SUMIFS('Facturas y gastos'!$G$10:$G$13,'Facturas y gastos'!$A$10:$A$13,A71)/SUMIFS('Facturas y gastos'!$D$10:$D$13,'Facturas y gastos'!$A$10:$A$13,A71)))</f>
        <v>5.4720290711007644</v>
      </c>
      <c r="L71" s="8">
        <f>IF(J71="","",IF(SUMIFS('Facturas y gastos'!$D$10:$D$13,'Facturas y gastos'!$A$10:$A$13,A71)=0,"",J71*SUMIFS('Facturas y gastos'!$H$10:$H$13,'Facturas y gastos'!$A$10:$A$13,A71)/SUMIFS('Facturas y gastos'!$D$10:$D$13,'Facturas y gastos'!$A$10:$A$13,A71)))</f>
        <v>16.415966083715769</v>
      </c>
      <c r="M71" s="8">
        <f>IF(J71="","",IF(SUMIFS('Facturas y gastos'!$D$10:$D$13,'Facturas y gastos'!$A$10:$A$13,A71)=0,"",J71*SUMIFS('Facturas y gastos'!$I$10:$I$13,'Facturas y gastos'!$A$10:$A$13,A71)/SUMIFS('Facturas y gastos'!$D$10:$D$13,'Facturas y gastos'!$A$10:$A$13,A71)))</f>
        <v>95.69237335184512</v>
      </c>
      <c r="N71" s="8">
        <f>IF(J71="","",IF(SUMIFS('Facturas y gastos'!$D$10:$D$13,'Facturas y gastos'!$A$10:$A$13,A71)=0,"",J71*SUMIFS('Facturas y gastos'!$J$10:$J$13,'Facturas y gastos'!$A$10:$A$13,A71)/SUMIFS('Facturas y gastos'!$D$10:$D$13,'Facturas y gastos'!$A$10:$A$13,A71)))</f>
        <v>0</v>
      </c>
      <c r="O71" s="8">
        <f t="shared" si="0"/>
        <v>653.83631036446002</v>
      </c>
      <c r="P71" s="8" t="str">
        <f>IF(OR(O71="",'Facturas y gastos'!$B$24="",'Facturas y gastos'!$B$45&lt;&gt;"OK",SUM($O$8:$O$657)=0),"",O71*'Facturas y gastos'!$B$43/SUM($O$8:$O$657))</f>
        <v/>
      </c>
      <c r="Q71" s="8" t="str">
        <f>IF(OR(O71="",'Facturas y gastos'!$B$5="",P71=""),"",O71*'Facturas y gastos'!$B$5+P71)</f>
        <v/>
      </c>
      <c r="R71" s="8" t="str">
        <f t="shared" si="1"/>
        <v/>
      </c>
    </row>
    <row r="72" spans="1:18">
      <c r="A72" s="25" t="s">
        <v>58</v>
      </c>
      <c r="B72" s="25">
        <v>65</v>
      </c>
      <c r="C72" s="25" t="s">
        <v>190</v>
      </c>
      <c r="D72" s="25" t="s">
        <v>191</v>
      </c>
      <c r="E72" s="25" t="s">
        <v>108</v>
      </c>
      <c r="F72" s="27">
        <v>40</v>
      </c>
      <c r="G72" s="27">
        <v>5</v>
      </c>
      <c r="H72" s="29">
        <v>10.46</v>
      </c>
      <c r="I72" s="29">
        <v>418.4</v>
      </c>
      <c r="J72" s="8">
        <f>IF(OR(A72="",I72=""),"",IF(SUMIFS($I$8:$I$657,$A$8:$A$657,A72)=0,"",I72*SUMIFS('Facturas y gastos'!$D$10:$D$13,'Facturas y gastos'!$A$10:$A$13,A72)/SUMIFS($I$8:$I$657,$A$8:$A$657,A72)))</f>
        <v>418.39999999999986</v>
      </c>
      <c r="K72" s="8">
        <f>IF(J72="","",IF(SUMIFS('Facturas y gastos'!$D$10:$D$13,'Facturas y gastos'!$A$10:$A$13,A72)=0,"",J72*SUMIFS('Facturas y gastos'!$G$10:$G$13,'Facturas y gastos'!$A$10:$A$13,A72)/SUMIFS('Facturas y gastos'!$D$10:$D$13,'Facturas y gastos'!$A$10:$A$13,A72)))</f>
        <v>4.1840222283416653</v>
      </c>
      <c r="L72" s="8">
        <f>IF(J72="","",IF(SUMIFS('Facturas y gastos'!$D$10:$D$13,'Facturas y gastos'!$A$10:$A$13,A72)=0,"",J72*SUMIFS('Facturas y gastos'!$H$10:$H$13,'Facturas y gastos'!$A$10:$A$13,A72)/SUMIFS('Facturas y gastos'!$D$10:$D$13,'Facturas y gastos'!$A$10:$A$13,A72)))</f>
        <v>12.551974066934719</v>
      </c>
      <c r="M72" s="8">
        <f>IF(J72="","",IF(SUMIFS('Facturas y gastos'!$D$10:$D$13,'Facturas y gastos'!$A$10:$A$13,A72)=0,"",J72*SUMIFS('Facturas y gastos'!$I$10:$I$13,'Facturas y gastos'!$A$10:$A$13,A72)/SUMIFS('Facturas y gastos'!$D$10:$D$13,'Facturas y gastos'!$A$10:$A$13,A72)))</f>
        <v>73.168291320197355</v>
      </c>
      <c r="N72" s="8">
        <f>IF(J72="","",IF(SUMIFS('Facturas y gastos'!$D$10:$D$13,'Facturas y gastos'!$A$10:$A$13,A72)=0,"",J72*SUMIFS('Facturas y gastos'!$J$10:$J$13,'Facturas y gastos'!$A$10:$A$13,A72)/SUMIFS('Facturas y gastos'!$D$10:$D$13,'Facturas y gastos'!$A$10:$A$13,A72)))</f>
        <v>0</v>
      </c>
      <c r="O72" s="8">
        <f t="shared" ref="O72:O135" si="2">IF(J72="","",J72-K72+L72+M72+N72)</f>
        <v>499.93624315879026</v>
      </c>
      <c r="P72" s="8" t="str">
        <f>IF(OR(O72="",'Facturas y gastos'!$B$24="",'Facturas y gastos'!$B$45&lt;&gt;"OK",SUM($O$8:$O$657)=0),"",O72*'Facturas y gastos'!$B$43/SUM($O$8:$O$657))</f>
        <v/>
      </c>
      <c r="Q72" s="8" t="str">
        <f>IF(OR(O72="",'Facturas y gastos'!$B$5="",P72=""),"",O72*'Facturas y gastos'!$B$5+P72)</f>
        <v/>
      </c>
      <c r="R72" s="8" t="str">
        <f t="shared" ref="R72:R135" si="3">IF(OR(Q72="",F72="",F72=0),"",Q72/F72)</f>
        <v/>
      </c>
    </row>
    <row r="73" spans="1:18">
      <c r="A73" s="25" t="s">
        <v>58</v>
      </c>
      <c r="B73" s="25">
        <v>66</v>
      </c>
      <c r="C73" s="25" t="s">
        <v>192</v>
      </c>
      <c r="D73" s="25" t="s">
        <v>191</v>
      </c>
      <c r="E73" s="25" t="s">
        <v>108</v>
      </c>
      <c r="F73" s="27">
        <v>120</v>
      </c>
      <c r="G73" s="27">
        <v>5</v>
      </c>
      <c r="H73" s="29">
        <v>6.07</v>
      </c>
      <c r="I73" s="29">
        <v>728.4</v>
      </c>
      <c r="J73" s="8">
        <f>IF(OR(A73="",I73=""),"",IF(SUMIFS($I$8:$I$657,$A$8:$A$657,A73)=0,"",I73*SUMIFS('Facturas y gastos'!$D$10:$D$13,'Facturas y gastos'!$A$10:$A$13,A73)/SUMIFS($I$8:$I$657,$A$8:$A$657,A73)))</f>
        <v>728.39999999999986</v>
      </c>
      <c r="K73" s="8">
        <f>IF(J73="","",IF(SUMIFS('Facturas y gastos'!$D$10:$D$13,'Facturas y gastos'!$A$10:$A$13,A73)=0,"",J73*SUMIFS('Facturas y gastos'!$G$10:$G$13,'Facturas y gastos'!$A$10:$A$13,A73)/SUMIFS('Facturas y gastos'!$D$10:$D$13,'Facturas y gastos'!$A$10:$A$13,A73)))</f>
        <v>7.2840386977152711</v>
      </c>
      <c r="L73" s="8">
        <f>IF(J73="","",IF(SUMIFS('Facturas y gastos'!$D$10:$D$13,'Facturas y gastos'!$A$10:$A$13,A73)=0,"",J73*SUMIFS('Facturas y gastos'!$H$10:$H$13,'Facturas y gastos'!$A$10:$A$13,A73)/SUMIFS('Facturas y gastos'!$D$10:$D$13,'Facturas y gastos'!$A$10:$A$13,A73)))</f>
        <v>21.851954852665511</v>
      </c>
      <c r="M73" s="8">
        <f>IF(J73="","",IF(SUMIFS('Facturas y gastos'!$D$10:$D$13,'Facturas y gastos'!$A$10:$A$13,A73)=0,"",J73*SUMIFS('Facturas y gastos'!$I$10:$I$13,'Facturas y gastos'!$A$10:$A$13,A73)/SUMIFS('Facturas y gastos'!$D$10:$D$13,'Facturas y gastos'!$A$10:$A$13,A73)))</f>
        <v>127.37997943984647</v>
      </c>
      <c r="N73" s="8">
        <f>IF(J73="","",IF(SUMIFS('Facturas y gastos'!$D$10:$D$13,'Facturas y gastos'!$A$10:$A$13,A73)=0,"",J73*SUMIFS('Facturas y gastos'!$J$10:$J$13,'Facturas y gastos'!$A$10:$A$13,A73)/SUMIFS('Facturas y gastos'!$D$10:$D$13,'Facturas y gastos'!$A$10:$A$13,A73)))</f>
        <v>0</v>
      </c>
      <c r="O73" s="8">
        <f t="shared" si="2"/>
        <v>870.34789559479657</v>
      </c>
      <c r="P73" s="8" t="str">
        <f>IF(OR(O73="",'Facturas y gastos'!$B$24="",'Facturas y gastos'!$B$45&lt;&gt;"OK",SUM($O$8:$O$657)=0),"",O73*'Facturas y gastos'!$B$43/SUM($O$8:$O$657))</f>
        <v/>
      </c>
      <c r="Q73" s="8" t="str">
        <f>IF(OR(O73="",'Facturas y gastos'!$B$5="",P73=""),"",O73*'Facturas y gastos'!$B$5+P73)</f>
        <v/>
      </c>
      <c r="R73" s="8" t="str">
        <f t="shared" si="3"/>
        <v/>
      </c>
    </row>
    <row r="74" spans="1:18">
      <c r="A74" s="25" t="s">
        <v>58</v>
      </c>
      <c r="B74" s="25">
        <v>67</v>
      </c>
      <c r="C74" s="25" t="s">
        <v>193</v>
      </c>
      <c r="D74" s="25" t="s">
        <v>191</v>
      </c>
      <c r="E74" s="25" t="s">
        <v>108</v>
      </c>
      <c r="F74" s="27">
        <v>40</v>
      </c>
      <c r="G74" s="27">
        <v>5</v>
      </c>
      <c r="H74" s="29">
        <v>14.34</v>
      </c>
      <c r="I74" s="29">
        <v>573.6</v>
      </c>
      <c r="J74" s="8">
        <f>IF(OR(A74="",I74=""),"",IF(SUMIFS($I$8:$I$657,$A$8:$A$657,A74)=0,"",I74*SUMIFS('Facturas y gastos'!$D$10:$D$13,'Facturas y gastos'!$A$10:$A$13,A74)/SUMIFS($I$8:$I$657,$A$8:$A$657,A74)))</f>
        <v>573.59999999999991</v>
      </c>
      <c r="K74" s="8">
        <f>IF(J74="","",IF(SUMIFS('Facturas y gastos'!$D$10:$D$13,'Facturas y gastos'!$A$10:$A$13,A74)=0,"",J74*SUMIFS('Facturas y gastos'!$G$10:$G$13,'Facturas y gastos'!$A$10:$A$13,A74)/SUMIFS('Facturas y gastos'!$D$10:$D$13,'Facturas y gastos'!$A$10:$A$13,A74)))</f>
        <v>5.7360304736538712</v>
      </c>
      <c r="L74" s="8">
        <f>IF(J74="","",IF(SUMIFS('Facturas y gastos'!$D$10:$D$13,'Facturas y gastos'!$A$10:$A$13,A74)=0,"",J74*SUMIFS('Facturas y gastos'!$H$10:$H$13,'Facturas y gastos'!$A$10:$A$13,A74)/SUMIFS('Facturas y gastos'!$D$10:$D$13,'Facturas y gastos'!$A$10:$A$13,A74)))</f>
        <v>17.20796444740381</v>
      </c>
      <c r="M74" s="8">
        <f>IF(J74="","",IF(SUMIFS('Facturas y gastos'!$D$10:$D$13,'Facturas y gastos'!$A$10:$A$13,A74)=0,"",J74*SUMIFS('Facturas y gastos'!$I$10:$I$13,'Facturas y gastos'!$A$10:$A$13,A74)/SUMIFS('Facturas y gastos'!$D$10:$D$13,'Facturas y gastos'!$A$10:$A$13,A74)))</f>
        <v>100.30911066267976</v>
      </c>
      <c r="N74" s="8">
        <f>IF(J74="","",IF(SUMIFS('Facturas y gastos'!$D$10:$D$13,'Facturas y gastos'!$A$10:$A$13,A74)=0,"",J74*SUMIFS('Facturas y gastos'!$J$10:$J$13,'Facturas y gastos'!$A$10:$A$13,A74)/SUMIFS('Facturas y gastos'!$D$10:$D$13,'Facturas y gastos'!$A$10:$A$13,A74)))</f>
        <v>0</v>
      </c>
      <c r="O74" s="8">
        <f t="shared" si="2"/>
        <v>685.38104463642958</v>
      </c>
      <c r="P74" s="8" t="str">
        <f>IF(OR(O74="",'Facturas y gastos'!$B$24="",'Facturas y gastos'!$B$45&lt;&gt;"OK",SUM($O$8:$O$657)=0),"",O74*'Facturas y gastos'!$B$43/SUM($O$8:$O$657))</f>
        <v/>
      </c>
      <c r="Q74" s="8" t="str">
        <f>IF(OR(O74="",'Facturas y gastos'!$B$5="",P74=""),"",O74*'Facturas y gastos'!$B$5+P74)</f>
        <v/>
      </c>
      <c r="R74" s="8" t="str">
        <f t="shared" si="3"/>
        <v/>
      </c>
    </row>
    <row r="75" spans="1:18">
      <c r="A75" s="25" t="s">
        <v>58</v>
      </c>
      <c r="B75" s="25">
        <v>68</v>
      </c>
      <c r="C75" s="25" t="s">
        <v>194</v>
      </c>
      <c r="D75" s="25" t="s">
        <v>191</v>
      </c>
      <c r="E75" s="25" t="s">
        <v>108</v>
      </c>
      <c r="F75" s="27">
        <v>40</v>
      </c>
      <c r="G75" s="27">
        <v>5</v>
      </c>
      <c r="H75" s="29">
        <v>11.47</v>
      </c>
      <c r="I75" s="29">
        <v>458.8</v>
      </c>
      <c r="J75" s="8">
        <f>IF(OR(A75="",I75=""),"",IF(SUMIFS($I$8:$I$657,$A$8:$A$657,A75)=0,"",I75*SUMIFS('Facturas y gastos'!$D$10:$D$13,'Facturas y gastos'!$A$10:$A$13,A75)/SUMIFS($I$8:$I$657,$A$8:$A$657,A75)))</f>
        <v>458.7999999999999</v>
      </c>
      <c r="K75" s="8">
        <f>IF(J75="","",IF(SUMIFS('Facturas y gastos'!$D$10:$D$13,'Facturas y gastos'!$A$10:$A$13,A75)=0,"",J75*SUMIFS('Facturas y gastos'!$G$10:$G$13,'Facturas y gastos'!$A$10:$A$13,A75)/SUMIFS('Facturas y gastos'!$D$10:$D$13,'Facturas y gastos'!$A$10:$A$13,A75)))</f>
        <v>4.5880243746729361</v>
      </c>
      <c r="L75" s="8">
        <f>IF(J75="","",IF(SUMIFS('Facturas y gastos'!$D$10:$D$13,'Facturas y gastos'!$A$10:$A$13,A75)=0,"",J75*SUMIFS('Facturas y gastos'!$H$10:$H$13,'Facturas y gastos'!$A$10:$A$13,A75)/SUMIFS('Facturas y gastos'!$D$10:$D$13,'Facturas y gastos'!$A$10:$A$13,A75)))</f>
        <v>13.76397156288157</v>
      </c>
      <c r="M75" s="8">
        <f>IF(J75="","",IF(SUMIFS('Facturas y gastos'!$D$10:$D$13,'Facturas y gastos'!$A$10:$A$13,A75)=0,"",J75*SUMIFS('Facturas y gastos'!$I$10:$I$13,'Facturas y gastos'!$A$10:$A$13,A75)/SUMIFS('Facturas y gastos'!$D$10:$D$13,'Facturas y gastos'!$A$10:$A$13,A75)))</f>
        <v>80.233298417080661</v>
      </c>
      <c r="N75" s="8">
        <f>IF(J75="","",IF(SUMIFS('Facturas y gastos'!$D$10:$D$13,'Facturas y gastos'!$A$10:$A$13,A75)=0,"",J75*SUMIFS('Facturas y gastos'!$J$10:$J$13,'Facturas y gastos'!$A$10:$A$13,A75)/SUMIFS('Facturas y gastos'!$D$10:$D$13,'Facturas y gastos'!$A$10:$A$13,A75)))</f>
        <v>0</v>
      </c>
      <c r="O75" s="8">
        <f t="shared" si="2"/>
        <v>548.2092456052892</v>
      </c>
      <c r="P75" s="8" t="str">
        <f>IF(OR(O75="",'Facturas y gastos'!$B$24="",'Facturas y gastos'!$B$45&lt;&gt;"OK",SUM($O$8:$O$657)=0),"",O75*'Facturas y gastos'!$B$43/SUM($O$8:$O$657))</f>
        <v/>
      </c>
      <c r="Q75" s="8" t="str">
        <f>IF(OR(O75="",'Facturas y gastos'!$B$5="",P75=""),"",O75*'Facturas y gastos'!$B$5+P75)</f>
        <v/>
      </c>
      <c r="R75" s="8" t="str">
        <f t="shared" si="3"/>
        <v/>
      </c>
    </row>
    <row r="76" spans="1:18">
      <c r="A76" s="25" t="s">
        <v>58</v>
      </c>
      <c r="B76" s="25">
        <v>69</v>
      </c>
      <c r="C76" s="25" t="s">
        <v>195</v>
      </c>
      <c r="D76" s="25" t="s">
        <v>196</v>
      </c>
      <c r="E76" s="25" t="s">
        <v>108</v>
      </c>
      <c r="F76" s="27">
        <v>120</v>
      </c>
      <c r="G76" s="27">
        <v>5</v>
      </c>
      <c r="H76" s="29">
        <v>2.99</v>
      </c>
      <c r="I76" s="29">
        <v>358.21</v>
      </c>
      <c r="J76" s="8">
        <f>IF(OR(A76="",I76=""),"",IF(SUMIFS($I$8:$I$657,$A$8:$A$657,A76)=0,"",I76*SUMIFS('Facturas y gastos'!$D$10:$D$13,'Facturas y gastos'!$A$10:$A$13,A76)/SUMIFS($I$8:$I$657,$A$8:$A$657,A76)))</f>
        <v>358.20999999999992</v>
      </c>
      <c r="K76" s="8">
        <f>IF(J76="","",IF(SUMIFS('Facturas y gastos'!$D$10:$D$13,'Facturas y gastos'!$A$10:$A$13,A76)=0,"",J76*SUMIFS('Facturas y gastos'!$G$10:$G$13,'Facturas y gastos'!$A$10:$A$13,A76)/SUMIFS('Facturas y gastos'!$D$10:$D$13,'Facturas y gastos'!$A$10:$A$13,A76)))</f>
        <v>3.5821190306268358</v>
      </c>
      <c r="L76" s="8">
        <f>IF(J76="","",IF(SUMIFS('Facturas y gastos'!$D$10:$D$13,'Facturas y gastos'!$A$10:$A$13,A76)=0,"",J76*SUMIFS('Facturas y gastos'!$H$10:$H$13,'Facturas y gastos'!$A$10:$A$13,A76)/SUMIFS('Facturas y gastos'!$D$10:$D$13,'Facturas y gastos'!$A$10:$A$13,A76)))</f>
        <v>10.746277797602021</v>
      </c>
      <c r="M76" s="8">
        <f>IF(J76="","",IF(SUMIFS('Facturas y gastos'!$D$10:$D$13,'Facturas y gastos'!$A$10:$A$13,A76)=0,"",J76*SUMIFS('Facturas y gastos'!$I$10:$I$13,'Facturas y gastos'!$A$10:$A$13,A76)/SUMIFS('Facturas y gastos'!$D$10:$D$13,'Facturas y gastos'!$A$10:$A$13,A76)))</f>
        <v>62.642480004320987</v>
      </c>
      <c r="N76" s="8">
        <f>IF(J76="","",IF(SUMIFS('Facturas y gastos'!$D$10:$D$13,'Facturas y gastos'!$A$10:$A$13,A76)=0,"",J76*SUMIFS('Facturas y gastos'!$J$10:$J$13,'Facturas y gastos'!$A$10:$A$13,A76)/SUMIFS('Facturas y gastos'!$D$10:$D$13,'Facturas y gastos'!$A$10:$A$13,A76)))</f>
        <v>0</v>
      </c>
      <c r="O76" s="8">
        <f t="shared" si="2"/>
        <v>428.01663877129613</v>
      </c>
      <c r="P76" s="8" t="str">
        <f>IF(OR(O76="",'Facturas y gastos'!$B$24="",'Facturas y gastos'!$B$45&lt;&gt;"OK",SUM($O$8:$O$657)=0),"",O76*'Facturas y gastos'!$B$43/SUM($O$8:$O$657))</f>
        <v/>
      </c>
      <c r="Q76" s="8" t="str">
        <f>IF(OR(O76="",'Facturas y gastos'!$B$5="",P76=""),"",O76*'Facturas y gastos'!$B$5+P76)</f>
        <v/>
      </c>
      <c r="R76" s="8" t="str">
        <f t="shared" si="3"/>
        <v/>
      </c>
    </row>
    <row r="77" spans="1:18">
      <c r="A77" s="25" t="s">
        <v>58</v>
      </c>
      <c r="B77" s="25">
        <v>70</v>
      </c>
      <c r="C77" s="25" t="s">
        <v>197</v>
      </c>
      <c r="D77" s="25" t="s">
        <v>196</v>
      </c>
      <c r="E77" s="25" t="s">
        <v>108</v>
      </c>
      <c r="F77" s="27">
        <v>120</v>
      </c>
      <c r="G77" s="27">
        <v>5</v>
      </c>
      <c r="H77" s="29">
        <v>2.91</v>
      </c>
      <c r="I77" s="29">
        <v>349.25</v>
      </c>
      <c r="J77" s="8">
        <f>IF(OR(A77="",I77=""),"",IF(SUMIFS($I$8:$I$657,$A$8:$A$657,A77)=0,"",I77*SUMIFS('Facturas y gastos'!$D$10:$D$13,'Facturas y gastos'!$A$10:$A$13,A77)/SUMIFS($I$8:$I$657,$A$8:$A$657,A77)))</f>
        <v>349.24999999999994</v>
      </c>
      <c r="K77" s="8">
        <f>IF(J77="","",IF(SUMIFS('Facturas y gastos'!$D$10:$D$13,'Facturas y gastos'!$A$10:$A$13,A77)=0,"",J77*SUMIFS('Facturas y gastos'!$G$10:$G$13,'Facturas y gastos'!$A$10:$A$13,A77)/SUMIFS('Facturas y gastos'!$D$10:$D$13,'Facturas y gastos'!$A$10:$A$13,A77)))</f>
        <v>3.4925185546088118</v>
      </c>
      <c r="L77" s="8">
        <f>IF(J77="","",IF(SUMIFS('Facturas y gastos'!$D$10:$D$13,'Facturas y gastos'!$A$10:$A$13,A77)=0,"",J77*SUMIFS('Facturas y gastos'!$H$10:$H$13,'Facturas y gastos'!$A$10:$A$13,A77)/SUMIFS('Facturas y gastos'!$D$10:$D$13,'Facturas y gastos'!$A$10:$A$13,A77)))</f>
        <v>10.477478352956384</v>
      </c>
      <c r="M77" s="8">
        <f>IF(J77="","",IF(SUMIFS('Facturas y gastos'!$D$10:$D$13,'Facturas y gastos'!$A$10:$A$13,A77)=0,"",J77*SUMIFS('Facturas y gastos'!$I$10:$I$13,'Facturas y gastos'!$A$10:$A$13,A77)/SUMIFS('Facturas y gastos'!$D$10:$D$13,'Facturas y gastos'!$A$10:$A$13,A77)))</f>
        <v>61.075587341249836</v>
      </c>
      <c r="N77" s="8">
        <f>IF(J77="","",IF(SUMIFS('Facturas y gastos'!$D$10:$D$13,'Facturas y gastos'!$A$10:$A$13,A77)=0,"",J77*SUMIFS('Facturas y gastos'!$J$10:$J$13,'Facturas y gastos'!$A$10:$A$13,A77)/SUMIFS('Facturas y gastos'!$D$10:$D$13,'Facturas y gastos'!$A$10:$A$13,A77)))</f>
        <v>0</v>
      </c>
      <c r="O77" s="8">
        <f t="shared" si="2"/>
        <v>417.31054713959736</v>
      </c>
      <c r="P77" s="8" t="str">
        <f>IF(OR(O77="",'Facturas y gastos'!$B$24="",'Facturas y gastos'!$B$45&lt;&gt;"OK",SUM($O$8:$O$657)=0),"",O77*'Facturas y gastos'!$B$43/SUM($O$8:$O$657))</f>
        <v/>
      </c>
      <c r="Q77" s="8" t="str">
        <f>IF(OR(O77="",'Facturas y gastos'!$B$5="",P77=""),"",O77*'Facturas y gastos'!$B$5+P77)</f>
        <v/>
      </c>
      <c r="R77" s="8" t="str">
        <f t="shared" si="3"/>
        <v/>
      </c>
    </row>
    <row r="78" spans="1:18">
      <c r="A78" s="25" t="s">
        <v>58</v>
      </c>
      <c r="B78" s="25">
        <v>71</v>
      </c>
      <c r="C78" s="25" t="s">
        <v>198</v>
      </c>
      <c r="D78" s="25" t="s">
        <v>199</v>
      </c>
      <c r="E78" s="25" t="s">
        <v>108</v>
      </c>
      <c r="F78" s="27">
        <v>120</v>
      </c>
      <c r="G78" s="27">
        <v>5</v>
      </c>
      <c r="H78" s="29">
        <v>3.88</v>
      </c>
      <c r="I78" s="29">
        <v>465.67</v>
      </c>
      <c r="J78" s="8">
        <f>IF(OR(A78="",I78=""),"",IF(SUMIFS($I$8:$I$657,$A$8:$A$657,A78)=0,"",I78*SUMIFS('Facturas y gastos'!$D$10:$D$13,'Facturas y gastos'!$A$10:$A$13,A78)/SUMIFS($I$8:$I$657,$A$8:$A$657,A78)))</f>
        <v>465.66999999999996</v>
      </c>
      <c r="K78" s="8">
        <f>IF(J78="","",IF(SUMIFS('Facturas y gastos'!$D$10:$D$13,'Facturas y gastos'!$A$10:$A$13,A78)=0,"",J78*SUMIFS('Facturas y gastos'!$G$10:$G$13,'Facturas y gastos'!$A$10:$A$13,A78)/SUMIFS('Facturas y gastos'!$D$10:$D$13,'Facturas y gastos'!$A$10:$A$13,A78)))</f>
        <v>4.6567247396555063</v>
      </c>
      <c r="L78" s="8">
        <f>IF(J78="","",IF(SUMIFS('Facturas y gastos'!$D$10:$D$13,'Facturas y gastos'!$A$10:$A$13,A78)=0,"",J78*SUMIFS('Facturas y gastos'!$H$10:$H$13,'Facturas y gastos'!$A$10:$A$13,A78)/SUMIFS('Facturas y gastos'!$D$10:$D$13,'Facturas y gastos'!$A$10:$A$13,A78)))</f>
        <v>13.970071137068572</v>
      </c>
      <c r="M78" s="8">
        <f>IF(J78="","",IF(SUMIFS('Facturas y gastos'!$D$10:$D$13,'Facturas y gastos'!$A$10:$A$13,A78)=0,"",J78*SUMIFS('Facturas y gastos'!$I$10:$I$13,'Facturas y gastos'!$A$10:$A$13,A78)/SUMIFS('Facturas y gastos'!$D$10:$D$13,'Facturas y gastos'!$A$10:$A$13,A78)))</f>
        <v>81.434699376377409</v>
      </c>
      <c r="N78" s="8">
        <f>IF(J78="","",IF(SUMIFS('Facturas y gastos'!$D$10:$D$13,'Facturas y gastos'!$A$10:$A$13,A78)=0,"",J78*SUMIFS('Facturas y gastos'!$J$10:$J$13,'Facturas y gastos'!$A$10:$A$13,A78)/SUMIFS('Facturas y gastos'!$D$10:$D$13,'Facturas y gastos'!$A$10:$A$13,A78)))</f>
        <v>0</v>
      </c>
      <c r="O78" s="8">
        <f t="shared" si="2"/>
        <v>556.41804577379048</v>
      </c>
      <c r="P78" s="8" t="str">
        <f>IF(OR(O78="",'Facturas y gastos'!$B$24="",'Facturas y gastos'!$B$45&lt;&gt;"OK",SUM($O$8:$O$657)=0),"",O78*'Facturas y gastos'!$B$43/SUM($O$8:$O$657))</f>
        <v/>
      </c>
      <c r="Q78" s="8" t="str">
        <f>IF(OR(O78="",'Facturas y gastos'!$B$5="",P78=""),"",O78*'Facturas y gastos'!$B$5+P78)</f>
        <v/>
      </c>
      <c r="R78" s="8" t="str">
        <f t="shared" si="3"/>
        <v/>
      </c>
    </row>
    <row r="79" spans="1:18">
      <c r="A79" s="25" t="s">
        <v>58</v>
      </c>
      <c r="B79" s="25">
        <v>72</v>
      </c>
      <c r="C79" s="25" t="s">
        <v>200</v>
      </c>
      <c r="D79" s="25" t="s">
        <v>196</v>
      </c>
      <c r="E79" s="25" t="s">
        <v>108</v>
      </c>
      <c r="F79" s="27">
        <v>250</v>
      </c>
      <c r="G79" s="27">
        <v>5</v>
      </c>
      <c r="H79" s="29">
        <v>2.0099999999999998</v>
      </c>
      <c r="I79" s="29">
        <v>503.73</v>
      </c>
      <c r="J79" s="8">
        <f>IF(OR(A79="",I79=""),"",IF(SUMIFS($I$8:$I$657,$A$8:$A$657,A79)=0,"",I79*SUMIFS('Facturas y gastos'!$D$10:$D$13,'Facturas y gastos'!$A$10:$A$13,A79)/SUMIFS($I$8:$I$657,$A$8:$A$657,A79)))</f>
        <v>503.7299999999999</v>
      </c>
      <c r="K79" s="8">
        <f>IF(J79="","",IF(SUMIFS('Facturas y gastos'!$D$10:$D$13,'Facturas y gastos'!$A$10:$A$13,A79)=0,"",J79*SUMIFS('Facturas y gastos'!$G$10:$G$13,'Facturas y gastos'!$A$10:$A$13,A79)/SUMIFS('Facturas y gastos'!$D$10:$D$13,'Facturas y gastos'!$A$10:$A$13,A79)))</f>
        <v>5.0373267616695685</v>
      </c>
      <c r="L79" s="8">
        <f>IF(J79="","",IF(SUMIFS('Facturas y gastos'!$D$10:$D$13,'Facturas y gastos'!$A$10:$A$13,A79)=0,"",J79*SUMIFS('Facturas y gastos'!$H$10:$H$13,'Facturas y gastos'!$A$10:$A$13,A79)/SUMIFS('Facturas y gastos'!$D$10:$D$13,'Facturas y gastos'!$A$10:$A$13,A79)))</f>
        <v>15.111868778052164</v>
      </c>
      <c r="M79" s="8">
        <f>IF(J79="","",IF(SUMIFS('Facturas y gastos'!$D$10:$D$13,'Facturas y gastos'!$A$10:$A$13,A79)=0,"",J79*SUMIFS('Facturas y gastos'!$I$10:$I$13,'Facturas y gastos'!$A$10:$A$13,A79)/SUMIFS('Facturas y gastos'!$D$10:$D$13,'Facturas y gastos'!$A$10:$A$13,A79)))</f>
        <v>88.090495666164003</v>
      </c>
      <c r="N79" s="8">
        <f>IF(J79="","",IF(SUMIFS('Facturas y gastos'!$D$10:$D$13,'Facturas y gastos'!$A$10:$A$13,A79)=0,"",J79*SUMIFS('Facturas y gastos'!$J$10:$J$13,'Facturas y gastos'!$A$10:$A$13,A79)/SUMIFS('Facturas y gastos'!$D$10:$D$13,'Facturas y gastos'!$A$10:$A$13,A79)))</f>
        <v>0</v>
      </c>
      <c r="O79" s="8">
        <f t="shared" si="2"/>
        <v>601.89503768254644</v>
      </c>
      <c r="P79" s="8" t="str">
        <f>IF(OR(O79="",'Facturas y gastos'!$B$24="",'Facturas y gastos'!$B$45&lt;&gt;"OK",SUM($O$8:$O$657)=0),"",O79*'Facturas y gastos'!$B$43/SUM($O$8:$O$657))</f>
        <v/>
      </c>
      <c r="Q79" s="8" t="str">
        <f>IF(OR(O79="",'Facturas y gastos'!$B$5="",P79=""),"",O79*'Facturas y gastos'!$B$5+P79)</f>
        <v/>
      </c>
      <c r="R79" s="8" t="str">
        <f t="shared" si="3"/>
        <v/>
      </c>
    </row>
    <row r="80" spans="1:18">
      <c r="A80" s="25" t="s">
        <v>58</v>
      </c>
      <c r="B80" s="25">
        <v>73</v>
      </c>
      <c r="C80" s="25" t="s">
        <v>201</v>
      </c>
      <c r="D80" s="25" t="s">
        <v>199</v>
      </c>
      <c r="E80" s="25" t="s">
        <v>108</v>
      </c>
      <c r="F80" s="27">
        <v>80</v>
      </c>
      <c r="G80" s="27">
        <v>5</v>
      </c>
      <c r="H80" s="29">
        <v>3.28</v>
      </c>
      <c r="I80" s="29">
        <v>262.69</v>
      </c>
      <c r="J80" s="8">
        <f>IF(OR(A80="",I80=""),"",IF(SUMIFS($I$8:$I$657,$A$8:$A$657,A80)=0,"",I80*SUMIFS('Facturas y gastos'!$D$10:$D$13,'Facturas y gastos'!$A$10:$A$13,A80)/SUMIFS($I$8:$I$657,$A$8:$A$657,A80)))</f>
        <v>262.69</v>
      </c>
      <c r="K80" s="8">
        <f>IF(J80="","",IF(SUMIFS('Facturas y gastos'!$D$10:$D$13,'Facturas y gastos'!$A$10:$A$13,A80)=0,"",J80*SUMIFS('Facturas y gastos'!$G$10:$G$13,'Facturas y gastos'!$A$10:$A$13,A80)/SUMIFS('Facturas y gastos'!$D$10:$D$13,'Facturas y gastos'!$A$10:$A$13,A80)))</f>
        <v>2.6269139559346857</v>
      </c>
      <c r="L80" s="8">
        <f>IF(J80="","",IF(SUMIFS('Facturas y gastos'!$D$10:$D$13,'Facturas y gastos'!$A$10:$A$13,A80)=0,"",J80*SUMIFS('Facturas y gastos'!$H$10:$H$13,'Facturas y gastos'!$A$10:$A$13,A80)/SUMIFS('Facturas y gastos'!$D$10:$D$13,'Facturas y gastos'!$A$10:$A$13,A80)))</f>
        <v>7.8806837180762006</v>
      </c>
      <c r="M80" s="8">
        <f>IF(J80="","",IF(SUMIFS('Facturas y gastos'!$D$10:$D$13,'Facturas y gastos'!$A$10:$A$13,A80)=0,"",J80*SUMIFS('Facturas y gastos'!$I$10:$I$13,'Facturas y gastos'!$A$10:$A$13,A80)/SUMIFS('Facturas y gastos'!$D$10:$D$13,'Facturas y gastos'!$A$10:$A$13,A80)))</f>
        <v>45.938285006937498</v>
      </c>
      <c r="N80" s="8">
        <f>IF(J80="","",IF(SUMIFS('Facturas y gastos'!$D$10:$D$13,'Facturas y gastos'!$A$10:$A$13,A80)=0,"",J80*SUMIFS('Facturas y gastos'!$J$10:$J$13,'Facturas y gastos'!$A$10:$A$13,A80)/SUMIFS('Facturas y gastos'!$D$10:$D$13,'Facturas y gastos'!$A$10:$A$13,A80)))</f>
        <v>0</v>
      </c>
      <c r="O80" s="8">
        <f t="shared" si="2"/>
        <v>313.88205476907905</v>
      </c>
      <c r="P80" s="8" t="str">
        <f>IF(OR(O80="",'Facturas y gastos'!$B$24="",'Facturas y gastos'!$B$45&lt;&gt;"OK",SUM($O$8:$O$657)=0),"",O80*'Facturas y gastos'!$B$43/SUM($O$8:$O$657))</f>
        <v/>
      </c>
      <c r="Q80" s="8" t="str">
        <f>IF(OR(O80="",'Facturas y gastos'!$B$5="",P80=""),"",O80*'Facturas y gastos'!$B$5+P80)</f>
        <v/>
      </c>
      <c r="R80" s="8" t="str">
        <f t="shared" si="3"/>
        <v/>
      </c>
    </row>
    <row r="81" spans="1:18">
      <c r="A81" s="25" t="s">
        <v>58</v>
      </c>
      <c r="B81" s="25">
        <v>74</v>
      </c>
      <c r="C81" s="25" t="s">
        <v>202</v>
      </c>
      <c r="D81" s="25" t="s">
        <v>203</v>
      </c>
      <c r="E81" s="25" t="s">
        <v>108</v>
      </c>
      <c r="F81" s="27">
        <v>60</v>
      </c>
      <c r="G81" s="27">
        <v>5</v>
      </c>
      <c r="H81" s="29">
        <v>5.97</v>
      </c>
      <c r="I81" s="29">
        <v>358.21</v>
      </c>
      <c r="J81" s="8">
        <f>IF(OR(A81="",I81=""),"",IF(SUMIFS($I$8:$I$657,$A$8:$A$657,A81)=0,"",I81*SUMIFS('Facturas y gastos'!$D$10:$D$13,'Facturas y gastos'!$A$10:$A$13,A81)/SUMIFS($I$8:$I$657,$A$8:$A$657,A81)))</f>
        <v>358.20999999999992</v>
      </c>
      <c r="K81" s="8">
        <f>IF(J81="","",IF(SUMIFS('Facturas y gastos'!$D$10:$D$13,'Facturas y gastos'!$A$10:$A$13,A81)=0,"",J81*SUMIFS('Facturas y gastos'!$G$10:$G$13,'Facturas y gastos'!$A$10:$A$13,A81)/SUMIFS('Facturas y gastos'!$D$10:$D$13,'Facturas y gastos'!$A$10:$A$13,A81)))</f>
        <v>3.5821190306268358</v>
      </c>
      <c r="L81" s="8">
        <f>IF(J81="","",IF(SUMIFS('Facturas y gastos'!$D$10:$D$13,'Facturas y gastos'!$A$10:$A$13,A81)=0,"",J81*SUMIFS('Facturas y gastos'!$H$10:$H$13,'Facturas y gastos'!$A$10:$A$13,A81)/SUMIFS('Facturas y gastos'!$D$10:$D$13,'Facturas y gastos'!$A$10:$A$13,A81)))</f>
        <v>10.746277797602021</v>
      </c>
      <c r="M81" s="8">
        <f>IF(J81="","",IF(SUMIFS('Facturas y gastos'!$D$10:$D$13,'Facturas y gastos'!$A$10:$A$13,A81)=0,"",J81*SUMIFS('Facturas y gastos'!$I$10:$I$13,'Facturas y gastos'!$A$10:$A$13,A81)/SUMIFS('Facturas y gastos'!$D$10:$D$13,'Facturas y gastos'!$A$10:$A$13,A81)))</f>
        <v>62.642480004320987</v>
      </c>
      <c r="N81" s="8">
        <f>IF(J81="","",IF(SUMIFS('Facturas y gastos'!$D$10:$D$13,'Facturas y gastos'!$A$10:$A$13,A81)=0,"",J81*SUMIFS('Facturas y gastos'!$J$10:$J$13,'Facturas y gastos'!$A$10:$A$13,A81)/SUMIFS('Facturas y gastos'!$D$10:$D$13,'Facturas y gastos'!$A$10:$A$13,A81)))</f>
        <v>0</v>
      </c>
      <c r="O81" s="8">
        <f t="shared" si="2"/>
        <v>428.01663877129613</v>
      </c>
      <c r="P81" s="8" t="str">
        <f>IF(OR(O81="",'Facturas y gastos'!$B$24="",'Facturas y gastos'!$B$45&lt;&gt;"OK",SUM($O$8:$O$657)=0),"",O81*'Facturas y gastos'!$B$43/SUM($O$8:$O$657))</f>
        <v/>
      </c>
      <c r="Q81" s="8" t="str">
        <f>IF(OR(O81="",'Facturas y gastos'!$B$5="",P81=""),"",O81*'Facturas y gastos'!$B$5+P81)</f>
        <v/>
      </c>
      <c r="R81" s="8" t="str">
        <f t="shared" si="3"/>
        <v/>
      </c>
    </row>
    <row r="82" spans="1:18">
      <c r="A82" s="25" t="s">
        <v>58</v>
      </c>
      <c r="B82" s="25">
        <v>75</v>
      </c>
      <c r="C82" s="25" t="s">
        <v>204</v>
      </c>
      <c r="D82" s="25"/>
      <c r="E82" s="25" t="s">
        <v>108</v>
      </c>
      <c r="F82" s="27">
        <v>240</v>
      </c>
      <c r="G82" s="27">
        <v>4</v>
      </c>
      <c r="H82" s="29">
        <v>2.5099999999999998</v>
      </c>
      <c r="I82" s="29">
        <v>601.79</v>
      </c>
      <c r="J82" s="8">
        <f>IF(OR(A82="",I82=""),"",IF(SUMIFS($I$8:$I$657,$A$8:$A$657,A82)=0,"",I82*SUMIFS('Facturas y gastos'!$D$10:$D$13,'Facturas y gastos'!$A$10:$A$13,A82)/SUMIFS($I$8:$I$657,$A$8:$A$657,A82)))</f>
        <v>601.78999999999985</v>
      </c>
      <c r="K82" s="8">
        <f>IF(J82="","",IF(SUMIFS('Facturas y gastos'!$D$10:$D$13,'Facturas y gastos'!$A$10:$A$13,A82)=0,"",J82*SUMIFS('Facturas y gastos'!$G$10:$G$13,'Facturas y gastos'!$A$10:$A$13,A82)/SUMIFS('Facturas y gastos'!$D$10:$D$13,'Facturas y gastos'!$A$10:$A$13,A82)))</f>
        <v>6.0179319713043284</v>
      </c>
      <c r="L82" s="8">
        <f>IF(J82="","",IF(SUMIFS('Facturas y gastos'!$D$10:$D$13,'Facturas y gastos'!$A$10:$A$13,A82)=0,"",J82*SUMIFS('Facturas y gastos'!$H$10:$H$13,'Facturas y gastos'!$A$10:$A$13,A82)/SUMIFS('Facturas y gastos'!$D$10:$D$13,'Facturas y gastos'!$A$10:$A$13,A82)))</f>
        <v>18.05366270014494</v>
      </c>
      <c r="M82" s="8">
        <f>IF(J82="","",IF(SUMIFS('Facturas y gastos'!$D$10:$D$13,'Facturas y gastos'!$A$10:$A$13,A82)=0,"",J82*SUMIFS('Facturas y gastos'!$I$10:$I$13,'Facturas y gastos'!$A$10:$A$13,A82)/SUMIFS('Facturas y gastos'!$D$10:$D$13,'Facturas y gastos'!$A$10:$A$13,A82)))</f>
        <v>105.23887675330204</v>
      </c>
      <c r="N82" s="8">
        <f>IF(J82="","",IF(SUMIFS('Facturas y gastos'!$D$10:$D$13,'Facturas y gastos'!$A$10:$A$13,A82)=0,"",J82*SUMIFS('Facturas y gastos'!$J$10:$J$13,'Facturas y gastos'!$A$10:$A$13,A82)/SUMIFS('Facturas y gastos'!$D$10:$D$13,'Facturas y gastos'!$A$10:$A$13,A82)))</f>
        <v>0</v>
      </c>
      <c r="O82" s="8">
        <f t="shared" si="2"/>
        <v>719.06460748214261</v>
      </c>
      <c r="P82" s="8" t="str">
        <f>IF(OR(O82="",'Facturas y gastos'!$B$24="",'Facturas y gastos'!$B$45&lt;&gt;"OK",SUM($O$8:$O$657)=0),"",O82*'Facturas y gastos'!$B$43/SUM($O$8:$O$657))</f>
        <v/>
      </c>
      <c r="Q82" s="8" t="str">
        <f>IF(OR(O82="",'Facturas y gastos'!$B$5="",P82=""),"",O82*'Facturas y gastos'!$B$5+P82)</f>
        <v/>
      </c>
      <c r="R82" s="8" t="str">
        <f t="shared" si="3"/>
        <v/>
      </c>
    </row>
    <row r="83" spans="1:18">
      <c r="A83" s="25" t="s">
        <v>58</v>
      </c>
      <c r="B83" s="25">
        <v>76</v>
      </c>
      <c r="C83" s="25" t="s">
        <v>205</v>
      </c>
      <c r="D83" s="25" t="s">
        <v>206</v>
      </c>
      <c r="E83" s="25" t="s">
        <v>108</v>
      </c>
      <c r="F83" s="27">
        <v>300</v>
      </c>
      <c r="G83" s="27">
        <v>4</v>
      </c>
      <c r="H83" s="29">
        <v>2.36</v>
      </c>
      <c r="I83" s="29">
        <v>707.46</v>
      </c>
      <c r="J83" s="8">
        <f>IF(OR(A83="",I83=""),"",IF(SUMIFS($I$8:$I$657,$A$8:$A$657,A83)=0,"",I83*SUMIFS('Facturas y gastos'!$D$10:$D$13,'Facturas y gastos'!$A$10:$A$13,A83)/SUMIFS($I$8:$I$657,$A$8:$A$657,A83)))</f>
        <v>707.45999999999992</v>
      </c>
      <c r="K83" s="8">
        <f>IF(J83="","",IF(SUMIFS('Facturas y gastos'!$D$10:$D$13,'Facturas y gastos'!$A$10:$A$13,A83)=0,"",J83*SUMIFS('Facturas y gastos'!$G$10:$G$13,'Facturas y gastos'!$A$10:$A$13,A83)/SUMIFS('Facturas y gastos'!$D$10:$D$13,'Facturas y gastos'!$A$10:$A$13,A83)))</f>
        <v>7.0746375852356485</v>
      </c>
      <c r="L83" s="8">
        <f>IF(J83="","",IF(SUMIFS('Facturas y gastos'!$D$10:$D$13,'Facturas y gastos'!$A$10:$A$13,A83)=0,"",J83*SUMIFS('Facturas y gastos'!$H$10:$H$13,'Facturas y gastos'!$A$10:$A$13,A83)/SUMIFS('Facturas y gastos'!$D$10:$D$13,'Facturas y gastos'!$A$10:$A$13,A83)))</f>
        <v>21.223756150558405</v>
      </c>
      <c r="M83" s="8">
        <f>IF(J83="","",IF(SUMIFS('Facturas y gastos'!$D$10:$D$13,'Facturas y gastos'!$A$10:$A$13,A83)=0,"",J83*SUMIFS('Facturas y gastos'!$I$10:$I$13,'Facturas y gastos'!$A$10:$A$13,A83)/SUMIFS('Facturas y gastos'!$D$10:$D$13,'Facturas y gastos'!$A$10:$A$13,A83)))</f>
        <v>123.71806734557082</v>
      </c>
      <c r="N83" s="8">
        <f>IF(J83="","",IF(SUMIFS('Facturas y gastos'!$D$10:$D$13,'Facturas y gastos'!$A$10:$A$13,A83)=0,"",J83*SUMIFS('Facturas y gastos'!$J$10:$J$13,'Facturas y gastos'!$A$10:$A$13,A83)/SUMIFS('Facturas y gastos'!$D$10:$D$13,'Facturas y gastos'!$A$10:$A$13,A83)))</f>
        <v>0</v>
      </c>
      <c r="O83" s="8">
        <f t="shared" si="2"/>
        <v>845.32718591089349</v>
      </c>
      <c r="P83" s="8" t="str">
        <f>IF(OR(O83="",'Facturas y gastos'!$B$24="",'Facturas y gastos'!$B$45&lt;&gt;"OK",SUM($O$8:$O$657)=0),"",O83*'Facturas y gastos'!$B$43/SUM($O$8:$O$657))</f>
        <v/>
      </c>
      <c r="Q83" s="8" t="str">
        <f>IF(OR(O83="",'Facturas y gastos'!$B$5="",P83=""),"",O83*'Facturas y gastos'!$B$5+P83)</f>
        <v/>
      </c>
      <c r="R83" s="8" t="str">
        <f t="shared" si="3"/>
        <v/>
      </c>
    </row>
    <row r="84" spans="1:18">
      <c r="A84" s="25" t="s">
        <v>58</v>
      </c>
      <c r="B84" s="25">
        <v>77</v>
      </c>
      <c r="C84" s="25" t="s">
        <v>207</v>
      </c>
      <c r="D84" s="25" t="s">
        <v>206</v>
      </c>
      <c r="E84" s="25" t="s">
        <v>108</v>
      </c>
      <c r="F84" s="27">
        <v>300</v>
      </c>
      <c r="G84" s="27">
        <v>4</v>
      </c>
      <c r="H84" s="29">
        <v>2.04</v>
      </c>
      <c r="I84" s="29">
        <v>613.42999999999995</v>
      </c>
      <c r="J84" s="8">
        <f>IF(OR(A84="",I84=""),"",IF(SUMIFS($I$8:$I$657,$A$8:$A$657,A84)=0,"",I84*SUMIFS('Facturas y gastos'!$D$10:$D$13,'Facturas y gastos'!$A$10:$A$13,A84)/SUMIFS($I$8:$I$657,$A$8:$A$657,A84)))</f>
        <v>613.42999999999984</v>
      </c>
      <c r="K84" s="8">
        <f>IF(J84="","",IF(SUMIFS('Facturas y gastos'!$D$10:$D$13,'Facturas y gastos'!$A$10:$A$13,A84)=0,"",J84*SUMIFS('Facturas y gastos'!$G$10:$G$13,'Facturas y gastos'!$A$10:$A$13,A84)/SUMIFS('Facturas y gastos'!$D$10:$D$13,'Facturas y gastos'!$A$10:$A$13,A84)))</f>
        <v>6.1343325897027441</v>
      </c>
      <c r="L84" s="8">
        <f>IF(J84="","",IF(SUMIFS('Facturas y gastos'!$D$10:$D$13,'Facturas y gastos'!$A$10:$A$13,A84)=0,"",J84*SUMIFS('Facturas y gastos'!$H$10:$H$13,'Facturas y gastos'!$A$10:$A$13,A84)/SUMIFS('Facturas y gastos'!$D$10:$D$13,'Facturas y gastos'!$A$10:$A$13,A84)))</f>
        <v>18.402861978680125</v>
      </c>
      <c r="M84" s="8">
        <f>IF(J84="","",IF(SUMIFS('Facturas y gastos'!$D$10:$D$13,'Facturas y gastos'!$A$10:$A$13,A84)=0,"",J84*SUMIFS('Facturas y gastos'!$I$10:$I$13,'Facturas y gastos'!$A$10:$A$13,A84)/SUMIFS('Facturas y gastos'!$D$10:$D$13,'Facturas y gastos'!$A$10:$A$13,A84)))</f>
        <v>107.27443820398823</v>
      </c>
      <c r="N84" s="8">
        <f>IF(J84="","",IF(SUMIFS('Facturas y gastos'!$D$10:$D$13,'Facturas y gastos'!$A$10:$A$13,A84)=0,"",J84*SUMIFS('Facturas y gastos'!$J$10:$J$13,'Facturas y gastos'!$A$10:$A$13,A84)/SUMIFS('Facturas y gastos'!$D$10:$D$13,'Facturas y gastos'!$A$10:$A$13,A84)))</f>
        <v>0</v>
      </c>
      <c r="O84" s="8">
        <f t="shared" si="2"/>
        <v>732.97296759296546</v>
      </c>
      <c r="P84" s="8" t="str">
        <f>IF(OR(O84="",'Facturas y gastos'!$B$24="",'Facturas y gastos'!$B$45&lt;&gt;"OK",SUM($O$8:$O$657)=0),"",O84*'Facturas y gastos'!$B$43/SUM($O$8:$O$657))</f>
        <v/>
      </c>
      <c r="Q84" s="8" t="str">
        <f>IF(OR(O84="",'Facturas y gastos'!$B$5="",P84=""),"",O84*'Facturas y gastos'!$B$5+P84)</f>
        <v/>
      </c>
      <c r="R84" s="8" t="str">
        <f t="shared" si="3"/>
        <v/>
      </c>
    </row>
    <row r="85" spans="1:18">
      <c r="A85" s="25" t="s">
        <v>58</v>
      </c>
      <c r="B85" s="25">
        <v>78</v>
      </c>
      <c r="C85" s="25" t="s">
        <v>208</v>
      </c>
      <c r="D85" s="25" t="s">
        <v>206</v>
      </c>
      <c r="E85" s="25" t="s">
        <v>108</v>
      </c>
      <c r="F85" s="27">
        <v>400</v>
      </c>
      <c r="G85" s="27">
        <v>4</v>
      </c>
      <c r="H85" s="29">
        <v>2.36</v>
      </c>
      <c r="I85" s="29">
        <v>943.28</v>
      </c>
      <c r="J85" s="8">
        <f>IF(OR(A85="",I85=""),"",IF(SUMIFS($I$8:$I$657,$A$8:$A$657,A85)=0,"",I85*SUMIFS('Facturas y gastos'!$D$10:$D$13,'Facturas y gastos'!$A$10:$A$13,A85)/SUMIFS($I$8:$I$657,$A$8:$A$657,A85)))</f>
        <v>943.27999999999986</v>
      </c>
      <c r="K85" s="8">
        <f>IF(J85="","",IF(SUMIFS('Facturas y gastos'!$D$10:$D$13,'Facturas y gastos'!$A$10:$A$13,A85)=0,"",J85*SUMIFS('Facturas y gastos'!$G$10:$G$13,'Facturas y gastos'!$A$10:$A$13,A85)/SUMIFS('Facturas y gastos'!$D$10:$D$13,'Facturas y gastos'!$A$10:$A$13,A85)))</f>
        <v>9.4328501136475307</v>
      </c>
      <c r="L85" s="8">
        <f>IF(J85="","",IF(SUMIFS('Facturas y gastos'!$D$10:$D$13,'Facturas y gastos'!$A$10:$A$13,A85)=0,"",J85*SUMIFS('Facturas y gastos'!$H$10:$H$13,'Facturas y gastos'!$A$10:$A$13,A85)/SUMIFS('Facturas y gastos'!$D$10:$D$13,'Facturas y gastos'!$A$10:$A$13,A85)))</f>
        <v>28.298341534077874</v>
      </c>
      <c r="M85" s="8">
        <f>IF(J85="","",IF(SUMIFS('Facturas y gastos'!$D$10:$D$13,'Facturas y gastos'!$A$10:$A$13,A85)=0,"",J85*SUMIFS('Facturas y gastos'!$I$10:$I$13,'Facturas y gastos'!$A$10:$A$13,A85)/SUMIFS('Facturas y gastos'!$D$10:$D$13,'Facturas y gastos'!$A$10:$A$13,A85)))</f>
        <v>164.95742312742777</v>
      </c>
      <c r="N85" s="8">
        <f>IF(J85="","",IF(SUMIFS('Facturas y gastos'!$D$10:$D$13,'Facturas y gastos'!$A$10:$A$13,A85)=0,"",J85*SUMIFS('Facturas y gastos'!$J$10:$J$13,'Facturas y gastos'!$A$10:$A$13,A85)/SUMIFS('Facturas y gastos'!$D$10:$D$13,'Facturas y gastos'!$A$10:$A$13,A85)))</f>
        <v>0</v>
      </c>
      <c r="O85" s="8">
        <f t="shared" si="2"/>
        <v>1127.1029145478578</v>
      </c>
      <c r="P85" s="8" t="str">
        <f>IF(OR(O85="",'Facturas y gastos'!$B$24="",'Facturas y gastos'!$B$45&lt;&gt;"OK",SUM($O$8:$O$657)=0),"",O85*'Facturas y gastos'!$B$43/SUM($O$8:$O$657))</f>
        <v/>
      </c>
      <c r="Q85" s="8" t="str">
        <f>IF(OR(O85="",'Facturas y gastos'!$B$5="",P85=""),"",O85*'Facturas y gastos'!$B$5+P85)</f>
        <v/>
      </c>
      <c r="R85" s="8" t="str">
        <f t="shared" si="3"/>
        <v/>
      </c>
    </row>
    <row r="86" spans="1:18">
      <c r="A86" s="25" t="s">
        <v>58</v>
      </c>
      <c r="B86" s="25">
        <v>79</v>
      </c>
      <c r="C86" s="25" t="s">
        <v>209</v>
      </c>
      <c r="D86" s="25" t="s">
        <v>206</v>
      </c>
      <c r="E86" s="25" t="s">
        <v>108</v>
      </c>
      <c r="F86" s="27">
        <v>240</v>
      </c>
      <c r="G86" s="27">
        <v>4</v>
      </c>
      <c r="H86" s="29">
        <v>2.67</v>
      </c>
      <c r="I86" s="29">
        <v>641.19000000000005</v>
      </c>
      <c r="J86" s="8">
        <f>IF(OR(A86="",I86=""),"",IF(SUMIFS($I$8:$I$657,$A$8:$A$657,A86)=0,"",I86*SUMIFS('Facturas y gastos'!$D$10:$D$13,'Facturas y gastos'!$A$10:$A$13,A86)/SUMIFS($I$8:$I$657,$A$8:$A$657,A86)))</f>
        <v>641.18999999999994</v>
      </c>
      <c r="K86" s="8">
        <f>IF(J86="","",IF(SUMIFS('Facturas y gastos'!$D$10:$D$13,'Facturas y gastos'!$A$10:$A$13,A86)=0,"",J86*SUMIFS('Facturas y gastos'!$G$10:$G$13,'Facturas y gastos'!$A$10:$A$13,A86)/SUMIFS('Facturas y gastos'!$D$10:$D$13,'Facturas y gastos'!$A$10:$A$13,A86)))</f>
        <v>6.4119340645085874</v>
      </c>
      <c r="L86" s="8">
        <f>IF(J86="","",IF(SUMIFS('Facturas y gastos'!$D$10:$D$13,'Facturas y gastos'!$A$10:$A$13,A86)=0,"",J86*SUMIFS('Facturas y gastos'!$H$10:$H$13,'Facturas y gastos'!$A$10:$A$13,A86)/SUMIFS('Facturas y gastos'!$D$10:$D$13,'Facturas y gastos'!$A$10:$A$13,A86)))</f>
        <v>19.23566025807331</v>
      </c>
      <c r="M86" s="8">
        <f>IF(J86="","",IF(SUMIFS('Facturas y gastos'!$D$10:$D$13,'Facturas y gastos'!$A$10:$A$13,A86)=0,"",J86*SUMIFS('Facturas y gastos'!$I$10:$I$13,'Facturas y gastos'!$A$10:$A$13,A86)/SUMIFS('Facturas y gastos'!$D$10:$D$13,'Facturas y gastos'!$A$10:$A$13,A86)))</f>
        <v>112.12900743689615</v>
      </c>
      <c r="N86" s="8">
        <f>IF(J86="","",IF(SUMIFS('Facturas y gastos'!$D$10:$D$13,'Facturas y gastos'!$A$10:$A$13,A86)=0,"",J86*SUMIFS('Facturas y gastos'!$J$10:$J$13,'Facturas y gastos'!$A$10:$A$13,A86)/SUMIFS('Facturas y gastos'!$D$10:$D$13,'Facturas y gastos'!$A$10:$A$13,A86)))</f>
        <v>0</v>
      </c>
      <c r="O86" s="8">
        <f t="shared" si="2"/>
        <v>766.14273363046073</v>
      </c>
      <c r="P86" s="8" t="str">
        <f>IF(OR(O86="",'Facturas y gastos'!$B$24="",'Facturas y gastos'!$B$45&lt;&gt;"OK",SUM($O$8:$O$657)=0),"",O86*'Facturas y gastos'!$B$43/SUM($O$8:$O$657))</f>
        <v/>
      </c>
      <c r="Q86" s="8" t="str">
        <f>IF(OR(O86="",'Facturas y gastos'!$B$5="",P86=""),"",O86*'Facturas y gastos'!$B$5+P86)</f>
        <v/>
      </c>
      <c r="R86" s="8" t="str">
        <f t="shared" si="3"/>
        <v/>
      </c>
    </row>
    <row r="87" spans="1:18">
      <c r="A87" s="25" t="s">
        <v>58</v>
      </c>
      <c r="B87" s="25">
        <v>80</v>
      </c>
      <c r="C87" s="25" t="s">
        <v>210</v>
      </c>
      <c r="D87" s="25"/>
      <c r="E87" s="25" t="s">
        <v>108</v>
      </c>
      <c r="F87" s="27">
        <v>240</v>
      </c>
      <c r="G87" s="27">
        <v>2</v>
      </c>
      <c r="H87" s="29">
        <v>2.36</v>
      </c>
      <c r="I87" s="29">
        <v>565.97</v>
      </c>
      <c r="J87" s="8">
        <f>IF(OR(A87="",I87=""),"",IF(SUMIFS($I$8:$I$657,$A$8:$A$657,A87)=0,"",I87*SUMIFS('Facturas y gastos'!$D$10:$D$13,'Facturas y gastos'!$A$10:$A$13,A87)/SUMIFS($I$8:$I$657,$A$8:$A$657,A87)))</f>
        <v>565.96999999999991</v>
      </c>
      <c r="K87" s="8">
        <f>IF(J87="","",IF(SUMIFS('Facturas y gastos'!$D$10:$D$13,'Facturas y gastos'!$A$10:$A$13,A87)=0,"",J87*SUMIFS('Facturas y gastos'!$G$10:$G$13,'Facturas y gastos'!$A$10:$A$13,A87)/SUMIFS('Facturas y gastos'!$D$10:$D$13,'Facturas y gastos'!$A$10:$A$13,A87)))</f>
        <v>5.6597300682947722</v>
      </c>
      <c r="L87" s="8">
        <f>IF(J87="","",IF(SUMIFS('Facturas y gastos'!$D$10:$D$13,'Facturas y gastos'!$A$10:$A$13,A87)=0,"",J87*SUMIFS('Facturas y gastos'!$H$10:$H$13,'Facturas y gastos'!$A$10:$A$13,A87)/SUMIFS('Facturas y gastos'!$D$10:$D$13,'Facturas y gastos'!$A$10:$A$13,A87)))</f>
        <v>16.979064920322759</v>
      </c>
      <c r="M87" s="8">
        <f>IF(J87="","",IF(SUMIFS('Facturas y gastos'!$D$10:$D$13,'Facturas y gastos'!$A$10:$A$13,A87)=0,"",J87*SUMIFS('Facturas y gastos'!$I$10:$I$13,'Facturas y gastos'!$A$10:$A$13,A87)/SUMIFS('Facturas y gastos'!$D$10:$D$13,'Facturas y gastos'!$A$10:$A$13,A87)))</f>
        <v>98.97480362928323</v>
      </c>
      <c r="N87" s="8">
        <f>IF(J87="","",IF(SUMIFS('Facturas y gastos'!$D$10:$D$13,'Facturas y gastos'!$A$10:$A$13,A87)=0,"",J87*SUMIFS('Facturas y gastos'!$J$10:$J$13,'Facturas y gastos'!$A$10:$A$13,A87)/SUMIFS('Facturas y gastos'!$D$10:$D$13,'Facturas y gastos'!$A$10:$A$13,A87)))</f>
        <v>0</v>
      </c>
      <c r="O87" s="8">
        <f t="shared" si="2"/>
        <v>676.26413848131119</v>
      </c>
      <c r="P87" s="8" t="str">
        <f>IF(OR(O87="",'Facturas y gastos'!$B$24="",'Facturas y gastos'!$B$45&lt;&gt;"OK",SUM($O$8:$O$657)=0),"",O87*'Facturas y gastos'!$B$43/SUM($O$8:$O$657))</f>
        <v/>
      </c>
      <c r="Q87" s="8" t="str">
        <f>IF(OR(O87="",'Facturas y gastos'!$B$5="",P87=""),"",O87*'Facturas y gastos'!$B$5+P87)</f>
        <v/>
      </c>
      <c r="R87" s="8" t="str">
        <f t="shared" si="3"/>
        <v/>
      </c>
    </row>
    <row r="88" spans="1:18">
      <c r="A88" s="25" t="s">
        <v>58</v>
      </c>
      <c r="B88" s="25">
        <v>81</v>
      </c>
      <c r="C88" s="25" t="s">
        <v>211</v>
      </c>
      <c r="D88" s="25" t="s">
        <v>212</v>
      </c>
      <c r="E88" s="25" t="s">
        <v>108</v>
      </c>
      <c r="F88" s="27">
        <v>180</v>
      </c>
      <c r="G88" s="27">
        <v>3</v>
      </c>
      <c r="H88" s="29">
        <v>2.54</v>
      </c>
      <c r="I88" s="29">
        <v>456.72</v>
      </c>
      <c r="J88" s="8">
        <f>IF(OR(A88="",I88=""),"",IF(SUMIFS($I$8:$I$657,$A$8:$A$657,A88)=0,"",I88*SUMIFS('Facturas y gastos'!$D$10:$D$13,'Facturas y gastos'!$A$10:$A$13,A88)/SUMIFS($I$8:$I$657,$A$8:$A$657,A88)))</f>
        <v>456.71999999999991</v>
      </c>
      <c r="K88" s="8">
        <f>IF(J88="","",IF(SUMIFS('Facturas y gastos'!$D$10:$D$13,'Facturas y gastos'!$A$10:$A$13,A88)=0,"",J88*SUMIFS('Facturas y gastos'!$G$10:$G$13,'Facturas y gastos'!$A$10:$A$13,A88)/SUMIFS('Facturas y gastos'!$D$10:$D$13,'Facturas y gastos'!$A$10:$A$13,A88)))</f>
        <v>4.5672242641687513</v>
      </c>
      <c r="L88" s="8">
        <f>IF(J88="","",IF(SUMIFS('Facturas y gastos'!$D$10:$D$13,'Facturas y gastos'!$A$10:$A$13,A88)=0,"",J88*SUMIFS('Facturas y gastos'!$H$10:$H$13,'Facturas y gastos'!$A$10:$A$13,A88)/SUMIFS('Facturas y gastos'!$D$10:$D$13,'Facturas y gastos'!$A$10:$A$13,A88)))</f>
        <v>13.701571691803117</v>
      </c>
      <c r="M88" s="8">
        <f>IF(J88="","",IF(SUMIFS('Facturas y gastos'!$D$10:$D$13,'Facturas y gastos'!$A$10:$A$13,A88)=0,"",J88*SUMIFS('Facturas y gastos'!$I$10:$I$13,'Facturas y gastos'!$A$10:$A$13,A88)/SUMIFS('Facturas y gastos'!$D$10:$D$13,'Facturas y gastos'!$A$10:$A$13,A88)))</f>
        <v>79.869555477439164</v>
      </c>
      <c r="N88" s="8">
        <f>IF(J88="","",IF(SUMIFS('Facturas y gastos'!$D$10:$D$13,'Facturas y gastos'!$A$10:$A$13,A88)=0,"",J88*SUMIFS('Facturas y gastos'!$J$10:$J$13,'Facturas y gastos'!$A$10:$A$13,A88)/SUMIFS('Facturas y gastos'!$D$10:$D$13,'Facturas y gastos'!$A$10:$A$13,A88)))</f>
        <v>0</v>
      </c>
      <c r="O88" s="8">
        <f t="shared" si="2"/>
        <v>545.72390290507337</v>
      </c>
      <c r="P88" s="8" t="str">
        <f>IF(OR(O88="",'Facturas y gastos'!$B$24="",'Facturas y gastos'!$B$45&lt;&gt;"OK",SUM($O$8:$O$657)=0),"",O88*'Facturas y gastos'!$B$43/SUM($O$8:$O$657))</f>
        <v/>
      </c>
      <c r="Q88" s="8" t="str">
        <f>IF(OR(O88="",'Facturas y gastos'!$B$5="",P88=""),"",O88*'Facturas y gastos'!$B$5+P88)</f>
        <v/>
      </c>
      <c r="R88" s="8" t="str">
        <f t="shared" si="3"/>
        <v/>
      </c>
    </row>
    <row r="89" spans="1:18">
      <c r="A89" s="25" t="s">
        <v>58</v>
      </c>
      <c r="B89" s="25">
        <v>82</v>
      </c>
      <c r="C89" s="25" t="s">
        <v>213</v>
      </c>
      <c r="D89" s="25" t="s">
        <v>214</v>
      </c>
      <c r="E89" s="25" t="s">
        <v>108</v>
      </c>
      <c r="F89" s="27">
        <v>180</v>
      </c>
      <c r="G89" s="27">
        <v>3</v>
      </c>
      <c r="H89" s="29">
        <v>2.54</v>
      </c>
      <c r="I89" s="29">
        <v>456.72</v>
      </c>
      <c r="J89" s="8">
        <f>IF(OR(A89="",I89=""),"",IF(SUMIFS($I$8:$I$657,$A$8:$A$657,A89)=0,"",I89*SUMIFS('Facturas y gastos'!$D$10:$D$13,'Facturas y gastos'!$A$10:$A$13,A89)/SUMIFS($I$8:$I$657,$A$8:$A$657,A89)))</f>
        <v>456.71999999999991</v>
      </c>
      <c r="K89" s="8">
        <f>IF(J89="","",IF(SUMIFS('Facturas y gastos'!$D$10:$D$13,'Facturas y gastos'!$A$10:$A$13,A89)=0,"",J89*SUMIFS('Facturas y gastos'!$G$10:$G$13,'Facturas y gastos'!$A$10:$A$13,A89)/SUMIFS('Facturas y gastos'!$D$10:$D$13,'Facturas y gastos'!$A$10:$A$13,A89)))</f>
        <v>4.5672242641687513</v>
      </c>
      <c r="L89" s="8">
        <f>IF(J89="","",IF(SUMIFS('Facturas y gastos'!$D$10:$D$13,'Facturas y gastos'!$A$10:$A$13,A89)=0,"",J89*SUMIFS('Facturas y gastos'!$H$10:$H$13,'Facturas y gastos'!$A$10:$A$13,A89)/SUMIFS('Facturas y gastos'!$D$10:$D$13,'Facturas y gastos'!$A$10:$A$13,A89)))</f>
        <v>13.701571691803117</v>
      </c>
      <c r="M89" s="8">
        <f>IF(J89="","",IF(SUMIFS('Facturas y gastos'!$D$10:$D$13,'Facturas y gastos'!$A$10:$A$13,A89)=0,"",J89*SUMIFS('Facturas y gastos'!$I$10:$I$13,'Facturas y gastos'!$A$10:$A$13,A89)/SUMIFS('Facturas y gastos'!$D$10:$D$13,'Facturas y gastos'!$A$10:$A$13,A89)))</f>
        <v>79.869555477439164</v>
      </c>
      <c r="N89" s="8">
        <f>IF(J89="","",IF(SUMIFS('Facturas y gastos'!$D$10:$D$13,'Facturas y gastos'!$A$10:$A$13,A89)=0,"",J89*SUMIFS('Facturas y gastos'!$J$10:$J$13,'Facturas y gastos'!$A$10:$A$13,A89)/SUMIFS('Facturas y gastos'!$D$10:$D$13,'Facturas y gastos'!$A$10:$A$13,A89)))</f>
        <v>0</v>
      </c>
      <c r="O89" s="8">
        <f t="shared" si="2"/>
        <v>545.72390290507337</v>
      </c>
      <c r="P89" s="8" t="str">
        <f>IF(OR(O89="",'Facturas y gastos'!$B$24="",'Facturas y gastos'!$B$45&lt;&gt;"OK",SUM($O$8:$O$657)=0),"",O89*'Facturas y gastos'!$B$43/SUM($O$8:$O$657))</f>
        <v/>
      </c>
      <c r="Q89" s="8" t="str">
        <f>IF(OR(O89="",'Facturas y gastos'!$B$5="",P89=""),"",O89*'Facturas y gastos'!$B$5+P89)</f>
        <v/>
      </c>
      <c r="R89" s="8" t="str">
        <f t="shared" si="3"/>
        <v/>
      </c>
    </row>
    <row r="90" spans="1:18">
      <c r="A90" s="25" t="s">
        <v>58</v>
      </c>
      <c r="B90" s="25">
        <v>83</v>
      </c>
      <c r="C90" s="25" t="s">
        <v>215</v>
      </c>
      <c r="D90" s="25" t="s">
        <v>216</v>
      </c>
      <c r="E90" s="25" t="s">
        <v>108</v>
      </c>
      <c r="F90" s="27">
        <v>90</v>
      </c>
      <c r="G90" s="27">
        <v>5</v>
      </c>
      <c r="H90" s="29">
        <v>3.1</v>
      </c>
      <c r="I90" s="29">
        <v>279.39999999999998</v>
      </c>
      <c r="J90" s="8">
        <f>IF(OR(A90="",I90=""),"",IF(SUMIFS($I$8:$I$657,$A$8:$A$657,A90)=0,"",I90*SUMIFS('Facturas y gastos'!$D$10:$D$13,'Facturas y gastos'!$A$10:$A$13,A90)/SUMIFS($I$8:$I$657,$A$8:$A$657,A90)))</f>
        <v>279.39999999999992</v>
      </c>
      <c r="K90" s="8">
        <f>IF(J90="","",IF(SUMIFS('Facturas y gastos'!$D$10:$D$13,'Facturas y gastos'!$A$10:$A$13,A90)=0,"",J90*SUMIFS('Facturas y gastos'!$G$10:$G$13,'Facturas y gastos'!$A$10:$A$13,A90)/SUMIFS('Facturas y gastos'!$D$10:$D$13,'Facturas y gastos'!$A$10:$A$13,A90)))</f>
        <v>2.7940148436870493</v>
      </c>
      <c r="L90" s="8">
        <f>IF(J90="","",IF(SUMIFS('Facturas y gastos'!$D$10:$D$13,'Facturas y gastos'!$A$10:$A$13,A90)=0,"",J90*SUMIFS('Facturas y gastos'!$H$10:$H$13,'Facturas y gastos'!$A$10:$A$13,A90)/SUMIFS('Facturas y gastos'!$D$10:$D$13,'Facturas y gastos'!$A$10:$A$13,A90)))</f>
        <v>8.3819826823651056</v>
      </c>
      <c r="M90" s="8">
        <f>IF(J90="","",IF(SUMIFS('Facturas y gastos'!$D$10:$D$13,'Facturas y gastos'!$A$10:$A$13,A90)=0,"",J90*SUMIFS('Facturas y gastos'!$I$10:$I$13,'Facturas y gastos'!$A$10:$A$13,A90)/SUMIFS('Facturas y gastos'!$D$10:$D$13,'Facturas y gastos'!$A$10:$A$13,A90)))</f>
        <v>48.860469872999865</v>
      </c>
      <c r="N90" s="8">
        <f>IF(J90="","",IF(SUMIFS('Facturas y gastos'!$D$10:$D$13,'Facturas y gastos'!$A$10:$A$13,A90)=0,"",J90*SUMIFS('Facturas y gastos'!$J$10:$J$13,'Facturas y gastos'!$A$10:$A$13,A90)/SUMIFS('Facturas y gastos'!$D$10:$D$13,'Facturas y gastos'!$A$10:$A$13,A90)))</f>
        <v>0</v>
      </c>
      <c r="O90" s="8">
        <f t="shared" si="2"/>
        <v>333.84843771167789</v>
      </c>
      <c r="P90" s="8" t="str">
        <f>IF(OR(O90="",'Facturas y gastos'!$B$24="",'Facturas y gastos'!$B$45&lt;&gt;"OK",SUM($O$8:$O$657)=0),"",O90*'Facturas y gastos'!$B$43/SUM($O$8:$O$657))</f>
        <v/>
      </c>
      <c r="Q90" s="8" t="str">
        <f>IF(OR(O90="",'Facturas y gastos'!$B$5="",P90=""),"",O90*'Facturas y gastos'!$B$5+P90)</f>
        <v/>
      </c>
      <c r="R90" s="8" t="str">
        <f t="shared" si="3"/>
        <v/>
      </c>
    </row>
    <row r="91" spans="1:18">
      <c r="A91" s="25" t="s">
        <v>58</v>
      </c>
      <c r="B91" s="25">
        <v>84</v>
      </c>
      <c r="C91" s="25" t="s">
        <v>217</v>
      </c>
      <c r="D91" s="25" t="s">
        <v>216</v>
      </c>
      <c r="E91" s="25" t="s">
        <v>108</v>
      </c>
      <c r="F91" s="27">
        <v>90</v>
      </c>
      <c r="G91" s="27">
        <v>5</v>
      </c>
      <c r="H91" s="29">
        <v>3.85</v>
      </c>
      <c r="I91" s="29">
        <v>346.57</v>
      </c>
      <c r="J91" s="8">
        <f>IF(OR(A91="",I91=""),"",IF(SUMIFS($I$8:$I$657,$A$8:$A$657,A91)=0,"",I91*SUMIFS('Facturas y gastos'!$D$10:$D$13,'Facturas y gastos'!$A$10:$A$13,A91)/SUMIFS($I$8:$I$657,$A$8:$A$657,A91)))</f>
        <v>346.56999999999994</v>
      </c>
      <c r="K91" s="8">
        <f>IF(J91="","",IF(SUMIFS('Facturas y gastos'!$D$10:$D$13,'Facturas y gastos'!$A$10:$A$13,A91)=0,"",J91*SUMIFS('Facturas y gastos'!$G$10:$G$13,'Facturas y gastos'!$A$10:$A$13,A91)/SUMIFS('Facturas y gastos'!$D$10:$D$13,'Facturas y gastos'!$A$10:$A$13,A91)))</f>
        <v>3.4657184122284206</v>
      </c>
      <c r="L91" s="8">
        <f>IF(J91="","",IF(SUMIFS('Facturas y gastos'!$D$10:$D$13,'Facturas y gastos'!$A$10:$A$13,A91)=0,"",J91*SUMIFS('Facturas y gastos'!$H$10:$H$13,'Facturas y gastos'!$A$10:$A$13,A91)/SUMIFS('Facturas y gastos'!$D$10:$D$13,'Facturas y gastos'!$A$10:$A$13,A91)))</f>
        <v>10.39707851906684</v>
      </c>
      <c r="M91" s="8">
        <f>IF(J91="","",IF(SUMIFS('Facturas y gastos'!$D$10:$D$13,'Facturas y gastos'!$A$10:$A$13,A91)=0,"",J91*SUMIFS('Facturas y gastos'!$I$10:$I$13,'Facturas y gastos'!$A$10:$A$13,A91)/SUMIFS('Facturas y gastos'!$D$10:$D$13,'Facturas y gastos'!$A$10:$A$13,A91)))</f>
        <v>60.606918553634806</v>
      </c>
      <c r="N91" s="8">
        <f>IF(J91="","",IF(SUMIFS('Facturas y gastos'!$D$10:$D$13,'Facturas y gastos'!$A$10:$A$13,A91)=0,"",J91*SUMIFS('Facturas y gastos'!$J$10:$J$13,'Facturas y gastos'!$A$10:$A$13,A91)/SUMIFS('Facturas y gastos'!$D$10:$D$13,'Facturas y gastos'!$A$10:$A$13,A91)))</f>
        <v>0</v>
      </c>
      <c r="O91" s="8">
        <f t="shared" si="2"/>
        <v>414.10827866047316</v>
      </c>
      <c r="P91" s="8" t="str">
        <f>IF(OR(O91="",'Facturas y gastos'!$B$24="",'Facturas y gastos'!$B$45&lt;&gt;"OK",SUM($O$8:$O$657)=0),"",O91*'Facturas y gastos'!$B$43/SUM($O$8:$O$657))</f>
        <v/>
      </c>
      <c r="Q91" s="8" t="str">
        <f>IF(OR(O91="",'Facturas y gastos'!$B$5="",P91=""),"",O91*'Facturas y gastos'!$B$5+P91)</f>
        <v/>
      </c>
      <c r="R91" s="8" t="str">
        <f t="shared" si="3"/>
        <v/>
      </c>
    </row>
    <row r="92" spans="1:18">
      <c r="A92" s="25" t="s">
        <v>58</v>
      </c>
      <c r="B92" s="25">
        <v>85</v>
      </c>
      <c r="C92" s="25" t="s">
        <v>218</v>
      </c>
      <c r="D92" s="25" t="s">
        <v>216</v>
      </c>
      <c r="E92" s="25" t="s">
        <v>108</v>
      </c>
      <c r="F92" s="27">
        <v>90</v>
      </c>
      <c r="G92" s="27">
        <v>5</v>
      </c>
      <c r="H92" s="29">
        <v>4.5999999999999996</v>
      </c>
      <c r="I92" s="29">
        <v>413.73</v>
      </c>
      <c r="J92" s="8">
        <f>IF(OR(A92="",I92=""),"",IF(SUMIFS($I$8:$I$657,$A$8:$A$657,A92)=0,"",I92*SUMIFS('Facturas y gastos'!$D$10:$D$13,'Facturas y gastos'!$A$10:$A$13,A92)/SUMIFS($I$8:$I$657,$A$8:$A$657,A92)))</f>
        <v>413.72999999999996</v>
      </c>
      <c r="K92" s="8">
        <f>IF(J92="","",IF(SUMIFS('Facturas y gastos'!$D$10:$D$13,'Facturas y gastos'!$A$10:$A$13,A92)=0,"",J92*SUMIFS('Facturas y gastos'!$G$10:$G$13,'Facturas y gastos'!$A$10:$A$13,A92)/SUMIFS('Facturas y gastos'!$D$10:$D$13,'Facturas y gastos'!$A$10:$A$13,A92)))</f>
        <v>4.1373219802385224</v>
      </c>
      <c r="L92" s="8">
        <f>IF(J92="","",IF(SUMIFS('Facturas y gastos'!$D$10:$D$13,'Facturas y gastos'!$A$10:$A$13,A92)=0,"",J92*SUMIFS('Facturas y gastos'!$H$10:$H$13,'Facturas y gastos'!$A$10:$A$13,A92)/SUMIFS('Facturas y gastos'!$D$10:$D$13,'Facturas y gastos'!$A$10:$A$13,A92)))</f>
        <v>12.411874356388388</v>
      </c>
      <c r="M92" s="8">
        <f>IF(J92="","",IF(SUMIFS('Facturas y gastos'!$D$10:$D$13,'Facturas y gastos'!$A$10:$A$13,A92)=0,"",J92*SUMIFS('Facturas y gastos'!$I$10:$I$13,'Facturas y gastos'!$A$10:$A$13,A92)/SUMIFS('Facturas y gastos'!$D$10:$D$13,'Facturas y gastos'!$A$10:$A$13,A92)))</f>
        <v>72.351618470136856</v>
      </c>
      <c r="N92" s="8">
        <f>IF(J92="","",IF(SUMIFS('Facturas y gastos'!$D$10:$D$13,'Facturas y gastos'!$A$10:$A$13,A92)=0,"",J92*SUMIFS('Facturas y gastos'!$J$10:$J$13,'Facturas y gastos'!$A$10:$A$13,A92)/SUMIFS('Facturas y gastos'!$D$10:$D$13,'Facturas y gastos'!$A$10:$A$13,A92)))</f>
        <v>0</v>
      </c>
      <c r="O92" s="8">
        <f t="shared" si="2"/>
        <v>494.35617084628666</v>
      </c>
      <c r="P92" s="8" t="str">
        <f>IF(OR(O92="",'Facturas y gastos'!$B$24="",'Facturas y gastos'!$B$45&lt;&gt;"OK",SUM($O$8:$O$657)=0),"",O92*'Facturas y gastos'!$B$43/SUM($O$8:$O$657))</f>
        <v/>
      </c>
      <c r="Q92" s="8" t="str">
        <f>IF(OR(O92="",'Facturas y gastos'!$B$5="",P92=""),"",O92*'Facturas y gastos'!$B$5+P92)</f>
        <v/>
      </c>
      <c r="R92" s="8" t="str">
        <f t="shared" si="3"/>
        <v/>
      </c>
    </row>
    <row r="93" spans="1:18">
      <c r="A93" s="25" t="s">
        <v>58</v>
      </c>
      <c r="B93" s="25">
        <v>86</v>
      </c>
      <c r="C93" s="25" t="s">
        <v>219</v>
      </c>
      <c r="D93" s="25" t="s">
        <v>216</v>
      </c>
      <c r="E93" s="25" t="s">
        <v>108</v>
      </c>
      <c r="F93" s="27">
        <v>90</v>
      </c>
      <c r="G93" s="27">
        <v>5</v>
      </c>
      <c r="H93" s="29">
        <v>3.81</v>
      </c>
      <c r="I93" s="29">
        <v>342.54</v>
      </c>
      <c r="J93" s="8">
        <f>IF(OR(A93="",I93=""),"",IF(SUMIFS($I$8:$I$657,$A$8:$A$657,A93)=0,"",I93*SUMIFS('Facturas y gastos'!$D$10:$D$13,'Facturas y gastos'!$A$10:$A$13,A93)/SUMIFS($I$8:$I$657,$A$8:$A$657,A93)))</f>
        <v>342.53999999999996</v>
      </c>
      <c r="K93" s="8">
        <f>IF(J93="","",IF(SUMIFS('Facturas y gastos'!$D$10:$D$13,'Facturas y gastos'!$A$10:$A$13,A93)=0,"",J93*SUMIFS('Facturas y gastos'!$G$10:$G$13,'Facturas y gastos'!$A$10:$A$13,A93)/SUMIFS('Facturas y gastos'!$D$10:$D$13,'Facturas y gastos'!$A$10:$A$13,A93)))</f>
        <v>3.4254181981265637</v>
      </c>
      <c r="L93" s="8">
        <f>IF(J93="","",IF(SUMIFS('Facturas y gastos'!$D$10:$D$13,'Facturas y gastos'!$A$10:$A$13,A93)=0,"",J93*SUMIFS('Facturas y gastos'!$H$10:$H$13,'Facturas y gastos'!$A$10:$A$13,A93)/SUMIFS('Facturas y gastos'!$D$10:$D$13,'Facturas y gastos'!$A$10:$A$13,A93)))</f>
        <v>10.27617876885234</v>
      </c>
      <c r="M93" s="8">
        <f>IF(J93="","",IF(SUMIFS('Facturas y gastos'!$D$10:$D$13,'Facturas y gastos'!$A$10:$A$13,A93)=0,"",J93*SUMIFS('Facturas y gastos'!$I$10:$I$13,'Facturas y gastos'!$A$10:$A$13,A93)/SUMIFS('Facturas y gastos'!$D$10:$D$13,'Facturas y gastos'!$A$10:$A$13,A93)))</f>
        <v>59.902166608079369</v>
      </c>
      <c r="N93" s="8">
        <f>IF(J93="","",IF(SUMIFS('Facturas y gastos'!$D$10:$D$13,'Facturas y gastos'!$A$10:$A$13,A93)=0,"",J93*SUMIFS('Facturas y gastos'!$J$10:$J$13,'Facturas y gastos'!$A$10:$A$13,A93)/SUMIFS('Facturas y gastos'!$D$10:$D$13,'Facturas y gastos'!$A$10:$A$13,A93)))</f>
        <v>0</v>
      </c>
      <c r="O93" s="8">
        <f t="shared" si="2"/>
        <v>409.29292717880509</v>
      </c>
      <c r="P93" s="8" t="str">
        <f>IF(OR(O93="",'Facturas y gastos'!$B$24="",'Facturas y gastos'!$B$45&lt;&gt;"OK",SUM($O$8:$O$657)=0),"",O93*'Facturas y gastos'!$B$43/SUM($O$8:$O$657))</f>
        <v/>
      </c>
      <c r="Q93" s="8" t="str">
        <f>IF(OR(O93="",'Facturas y gastos'!$B$5="",P93=""),"",O93*'Facturas y gastos'!$B$5+P93)</f>
        <v/>
      </c>
      <c r="R93" s="8" t="str">
        <f t="shared" si="3"/>
        <v/>
      </c>
    </row>
    <row r="94" spans="1:18">
      <c r="A94" s="25" t="s">
        <v>58</v>
      </c>
      <c r="B94" s="25">
        <v>87</v>
      </c>
      <c r="C94" s="25" t="s">
        <v>220</v>
      </c>
      <c r="D94" s="25" t="s">
        <v>216</v>
      </c>
      <c r="E94" s="25" t="s">
        <v>108</v>
      </c>
      <c r="F94" s="27">
        <v>500</v>
      </c>
      <c r="G94" s="27">
        <v>5</v>
      </c>
      <c r="H94" s="29">
        <v>0.76</v>
      </c>
      <c r="I94" s="29">
        <v>380</v>
      </c>
      <c r="J94" s="8">
        <f>IF(OR(A94="",I94=""),"",IF(SUMIFS($I$8:$I$657,$A$8:$A$657,A94)=0,"",I94*SUMIFS('Facturas y gastos'!$D$10:$D$13,'Facturas y gastos'!$A$10:$A$13,A94)/SUMIFS($I$8:$I$657,$A$8:$A$657,A94)))</f>
        <v>379.99999999999994</v>
      </c>
      <c r="K94" s="8">
        <f>IF(J94="","",IF(SUMIFS('Facturas y gastos'!$D$10:$D$13,'Facturas y gastos'!$A$10:$A$13,A94)=0,"",J94*SUMIFS('Facturas y gastos'!$G$10:$G$13,'Facturas y gastos'!$A$10:$A$13,A94)/SUMIFS('Facturas y gastos'!$D$10:$D$13,'Facturas y gastos'!$A$10:$A$13,A94)))</f>
        <v>3.8000201882644196</v>
      </c>
      <c r="L94" s="8">
        <f>IF(J94="","",IF(SUMIFS('Facturas y gastos'!$D$10:$D$13,'Facturas y gastos'!$A$10:$A$13,A94)=0,"",J94*SUMIFS('Facturas y gastos'!$H$10:$H$13,'Facturas y gastos'!$A$10:$A$13,A94)/SUMIFS('Facturas y gastos'!$D$10:$D$13,'Facturas y gastos'!$A$10:$A$13,A94)))</f>
        <v>11.399976447024841</v>
      </c>
      <c r="M94" s="8">
        <f>IF(J94="","",IF(SUMIFS('Facturas y gastos'!$D$10:$D$13,'Facturas y gastos'!$A$10:$A$13,A94)=0,"",J94*SUMIFS('Facturas y gastos'!$I$10:$I$13,'Facturas y gastos'!$A$10:$A$13,A94)/SUMIFS('Facturas y gastos'!$D$10:$D$13,'Facturas y gastos'!$A$10:$A$13,A94)))</f>
        <v>66.453037049892444</v>
      </c>
      <c r="N94" s="8">
        <f>IF(J94="","",IF(SUMIFS('Facturas y gastos'!$D$10:$D$13,'Facturas y gastos'!$A$10:$A$13,A94)=0,"",J94*SUMIFS('Facturas y gastos'!$J$10:$J$13,'Facturas y gastos'!$A$10:$A$13,A94)/SUMIFS('Facturas y gastos'!$D$10:$D$13,'Facturas y gastos'!$A$10:$A$13,A94)))</f>
        <v>0</v>
      </c>
      <c r="O94" s="8">
        <f t="shared" si="2"/>
        <v>454.05299330865279</v>
      </c>
      <c r="P94" s="8" t="str">
        <f>IF(OR(O94="",'Facturas y gastos'!$B$24="",'Facturas y gastos'!$B$45&lt;&gt;"OK",SUM($O$8:$O$657)=0),"",O94*'Facturas y gastos'!$B$43/SUM($O$8:$O$657))</f>
        <v/>
      </c>
      <c r="Q94" s="8" t="str">
        <f>IF(OR(O94="",'Facturas y gastos'!$B$5="",P94=""),"",O94*'Facturas y gastos'!$B$5+P94)</f>
        <v/>
      </c>
      <c r="R94" s="8" t="str">
        <f t="shared" si="3"/>
        <v/>
      </c>
    </row>
    <row r="95" spans="1:18">
      <c r="A95" s="25" t="s">
        <v>58</v>
      </c>
      <c r="B95" s="25">
        <v>88</v>
      </c>
      <c r="C95" s="25" t="s">
        <v>221</v>
      </c>
      <c r="D95" s="25" t="s">
        <v>216</v>
      </c>
      <c r="E95" s="25" t="s">
        <v>108</v>
      </c>
      <c r="F95" s="27">
        <v>300</v>
      </c>
      <c r="G95" s="27">
        <v>5</v>
      </c>
      <c r="H95" s="29">
        <v>0.84</v>
      </c>
      <c r="I95" s="29">
        <v>252</v>
      </c>
      <c r="J95" s="8">
        <f>IF(OR(A95="",I95=""),"",IF(SUMIFS($I$8:$I$657,$A$8:$A$657,A95)=0,"",I95*SUMIFS('Facturas y gastos'!$D$10:$D$13,'Facturas y gastos'!$A$10:$A$13,A95)/SUMIFS($I$8:$I$657,$A$8:$A$657,A95)))</f>
        <v>251.99999999999997</v>
      </c>
      <c r="K95" s="8">
        <f>IF(J95="","",IF(SUMIFS('Facturas y gastos'!$D$10:$D$13,'Facturas y gastos'!$A$10:$A$13,A95)=0,"",J95*SUMIFS('Facturas y gastos'!$G$10:$G$13,'Facturas y gastos'!$A$10:$A$13,A95)/SUMIFS('Facturas y gastos'!$D$10:$D$13,'Facturas y gastos'!$A$10:$A$13,A95)))</f>
        <v>2.5200133880069311</v>
      </c>
      <c r="L95" s="8">
        <f>IF(J95="","",IF(SUMIFS('Facturas y gastos'!$D$10:$D$13,'Facturas y gastos'!$A$10:$A$13,A95)=0,"",J95*SUMIFS('Facturas y gastos'!$H$10:$H$13,'Facturas y gastos'!$A$10:$A$13,A95)/SUMIFS('Facturas y gastos'!$D$10:$D$13,'Facturas y gastos'!$A$10:$A$13,A95)))</f>
        <v>7.5599843806585794</v>
      </c>
      <c r="M95" s="8">
        <f>IF(J95="","",IF(SUMIFS('Facturas y gastos'!$D$10:$D$13,'Facturas y gastos'!$A$10:$A$13,A95)=0,"",J95*SUMIFS('Facturas y gastos'!$I$10:$I$13,'Facturas y gastos'!$A$10:$A$13,A95)/SUMIFS('Facturas y gastos'!$D$10:$D$13,'Facturas y gastos'!$A$10:$A$13,A95)))</f>
        <v>44.068856148876044</v>
      </c>
      <c r="N95" s="8">
        <f>IF(J95="","",IF(SUMIFS('Facturas y gastos'!$D$10:$D$13,'Facturas y gastos'!$A$10:$A$13,A95)=0,"",J95*SUMIFS('Facturas y gastos'!$J$10:$J$13,'Facturas y gastos'!$A$10:$A$13,A95)/SUMIFS('Facturas y gastos'!$D$10:$D$13,'Facturas y gastos'!$A$10:$A$13,A95)))</f>
        <v>0</v>
      </c>
      <c r="O95" s="8">
        <f t="shared" si="2"/>
        <v>301.10882714152763</v>
      </c>
      <c r="P95" s="8" t="str">
        <f>IF(OR(O95="",'Facturas y gastos'!$B$24="",'Facturas y gastos'!$B$45&lt;&gt;"OK",SUM($O$8:$O$657)=0),"",O95*'Facturas y gastos'!$B$43/SUM($O$8:$O$657))</f>
        <v/>
      </c>
      <c r="Q95" s="8" t="str">
        <f>IF(OR(O95="",'Facturas y gastos'!$B$5="",P95=""),"",O95*'Facturas y gastos'!$B$5+P95)</f>
        <v/>
      </c>
      <c r="R95" s="8" t="str">
        <f t="shared" si="3"/>
        <v/>
      </c>
    </row>
    <row r="96" spans="1:18">
      <c r="A96" s="25" t="s">
        <v>58</v>
      </c>
      <c r="B96" s="25">
        <v>89</v>
      </c>
      <c r="C96" s="25" t="s">
        <v>222</v>
      </c>
      <c r="D96" s="25" t="s">
        <v>216</v>
      </c>
      <c r="E96" s="25" t="s">
        <v>108</v>
      </c>
      <c r="F96" s="27">
        <v>200</v>
      </c>
      <c r="G96" s="27">
        <v>5</v>
      </c>
      <c r="H96" s="29">
        <v>1.26</v>
      </c>
      <c r="I96" s="29">
        <v>252</v>
      </c>
      <c r="J96" s="8">
        <f>IF(OR(A96="",I96=""),"",IF(SUMIFS($I$8:$I$657,$A$8:$A$657,A96)=0,"",I96*SUMIFS('Facturas y gastos'!$D$10:$D$13,'Facturas y gastos'!$A$10:$A$13,A96)/SUMIFS($I$8:$I$657,$A$8:$A$657,A96)))</f>
        <v>251.99999999999997</v>
      </c>
      <c r="K96" s="8">
        <f>IF(J96="","",IF(SUMIFS('Facturas y gastos'!$D$10:$D$13,'Facturas y gastos'!$A$10:$A$13,A96)=0,"",J96*SUMIFS('Facturas y gastos'!$G$10:$G$13,'Facturas y gastos'!$A$10:$A$13,A96)/SUMIFS('Facturas y gastos'!$D$10:$D$13,'Facturas y gastos'!$A$10:$A$13,A96)))</f>
        <v>2.5200133880069311</v>
      </c>
      <c r="L96" s="8">
        <f>IF(J96="","",IF(SUMIFS('Facturas y gastos'!$D$10:$D$13,'Facturas y gastos'!$A$10:$A$13,A96)=0,"",J96*SUMIFS('Facturas y gastos'!$H$10:$H$13,'Facturas y gastos'!$A$10:$A$13,A96)/SUMIFS('Facturas y gastos'!$D$10:$D$13,'Facturas y gastos'!$A$10:$A$13,A96)))</f>
        <v>7.5599843806585794</v>
      </c>
      <c r="M96" s="8">
        <f>IF(J96="","",IF(SUMIFS('Facturas y gastos'!$D$10:$D$13,'Facturas y gastos'!$A$10:$A$13,A96)=0,"",J96*SUMIFS('Facturas y gastos'!$I$10:$I$13,'Facturas y gastos'!$A$10:$A$13,A96)/SUMIFS('Facturas y gastos'!$D$10:$D$13,'Facturas y gastos'!$A$10:$A$13,A96)))</f>
        <v>44.068856148876044</v>
      </c>
      <c r="N96" s="8">
        <f>IF(J96="","",IF(SUMIFS('Facturas y gastos'!$D$10:$D$13,'Facturas y gastos'!$A$10:$A$13,A96)=0,"",J96*SUMIFS('Facturas y gastos'!$J$10:$J$13,'Facturas y gastos'!$A$10:$A$13,A96)/SUMIFS('Facturas y gastos'!$D$10:$D$13,'Facturas y gastos'!$A$10:$A$13,A96)))</f>
        <v>0</v>
      </c>
      <c r="O96" s="8">
        <f t="shared" si="2"/>
        <v>301.10882714152763</v>
      </c>
      <c r="P96" s="8" t="str">
        <f>IF(OR(O96="",'Facturas y gastos'!$B$24="",'Facturas y gastos'!$B$45&lt;&gt;"OK",SUM($O$8:$O$657)=0),"",O96*'Facturas y gastos'!$B$43/SUM($O$8:$O$657))</f>
        <v/>
      </c>
      <c r="Q96" s="8" t="str">
        <f>IF(OR(O96="",'Facturas y gastos'!$B$5="",P96=""),"",O96*'Facturas y gastos'!$B$5+P96)</f>
        <v/>
      </c>
      <c r="R96" s="8" t="str">
        <f t="shared" si="3"/>
        <v/>
      </c>
    </row>
    <row r="97" spans="1:18">
      <c r="A97" s="25" t="s">
        <v>58</v>
      </c>
      <c r="B97" s="25">
        <v>90</v>
      </c>
      <c r="C97" s="25" t="s">
        <v>223</v>
      </c>
      <c r="D97" s="25" t="s">
        <v>216</v>
      </c>
      <c r="E97" s="25" t="s">
        <v>108</v>
      </c>
      <c r="F97" s="27">
        <v>360</v>
      </c>
      <c r="G97" s="27">
        <v>6</v>
      </c>
      <c r="H97" s="29">
        <v>1.43</v>
      </c>
      <c r="I97" s="29">
        <v>514.79999999999995</v>
      </c>
      <c r="J97" s="8">
        <f>IF(OR(A97="",I97=""),"",IF(SUMIFS($I$8:$I$657,$A$8:$A$657,A97)=0,"",I97*SUMIFS('Facturas y gastos'!$D$10:$D$13,'Facturas y gastos'!$A$10:$A$13,A97)/SUMIFS($I$8:$I$657,$A$8:$A$657,A97)))</f>
        <v>514.79999999999984</v>
      </c>
      <c r="K97" s="8">
        <f>IF(J97="","",IF(SUMIFS('Facturas y gastos'!$D$10:$D$13,'Facturas y gastos'!$A$10:$A$13,A97)=0,"",J97*SUMIFS('Facturas y gastos'!$G$10:$G$13,'Facturas y gastos'!$A$10:$A$13,A97)/SUMIFS('Facturas y gastos'!$D$10:$D$13,'Facturas y gastos'!$A$10:$A$13,A97)))</f>
        <v>5.1480273497855862</v>
      </c>
      <c r="L97" s="8">
        <f>IF(J97="","",IF(SUMIFS('Facturas y gastos'!$D$10:$D$13,'Facturas y gastos'!$A$10:$A$13,A97)=0,"",J97*SUMIFS('Facturas y gastos'!$H$10:$H$13,'Facturas y gastos'!$A$10:$A$13,A97)/SUMIFS('Facturas y gastos'!$D$10:$D$13,'Facturas y gastos'!$A$10:$A$13,A97)))</f>
        <v>15.443968091916808</v>
      </c>
      <c r="M97" s="8">
        <f>IF(J97="","",IF(SUMIFS('Facturas y gastos'!$D$10:$D$13,'Facturas y gastos'!$A$10:$A$13,A97)=0,"",J97*SUMIFS('Facturas y gastos'!$I$10:$I$13,'Facturas y gastos'!$A$10:$A$13,A97)/SUMIFS('Facturas y gastos'!$D$10:$D$13,'Facturas y gastos'!$A$10:$A$13,A97)))</f>
        <v>90.026377561275325</v>
      </c>
      <c r="N97" s="8">
        <f>IF(J97="","",IF(SUMIFS('Facturas y gastos'!$D$10:$D$13,'Facturas y gastos'!$A$10:$A$13,A97)=0,"",J97*SUMIFS('Facturas y gastos'!$J$10:$J$13,'Facturas y gastos'!$A$10:$A$13,A97)/SUMIFS('Facturas y gastos'!$D$10:$D$13,'Facturas y gastos'!$A$10:$A$13,A97)))</f>
        <v>0</v>
      </c>
      <c r="O97" s="8">
        <f t="shared" si="2"/>
        <v>615.12231830340636</v>
      </c>
      <c r="P97" s="8" t="str">
        <f>IF(OR(O97="",'Facturas y gastos'!$B$24="",'Facturas y gastos'!$B$45&lt;&gt;"OK",SUM($O$8:$O$657)=0),"",O97*'Facturas y gastos'!$B$43/SUM($O$8:$O$657))</f>
        <v/>
      </c>
      <c r="Q97" s="8" t="str">
        <f>IF(OR(O97="",'Facturas y gastos'!$B$5="",P97=""),"",O97*'Facturas y gastos'!$B$5+P97)</f>
        <v/>
      </c>
      <c r="R97" s="8" t="str">
        <f t="shared" si="3"/>
        <v/>
      </c>
    </row>
    <row r="98" spans="1:18">
      <c r="A98" s="25" t="s">
        <v>58</v>
      </c>
      <c r="B98" s="25">
        <v>91</v>
      </c>
      <c r="C98" s="25" t="s">
        <v>224</v>
      </c>
      <c r="D98" s="25" t="s">
        <v>216</v>
      </c>
      <c r="E98" s="25" t="s">
        <v>108</v>
      </c>
      <c r="F98" s="27">
        <v>360</v>
      </c>
      <c r="G98" s="27">
        <v>6</v>
      </c>
      <c r="H98" s="29">
        <v>1.43</v>
      </c>
      <c r="I98" s="29">
        <v>514.79999999999995</v>
      </c>
      <c r="J98" s="8">
        <f>IF(OR(A98="",I98=""),"",IF(SUMIFS($I$8:$I$657,$A$8:$A$657,A98)=0,"",I98*SUMIFS('Facturas y gastos'!$D$10:$D$13,'Facturas y gastos'!$A$10:$A$13,A98)/SUMIFS($I$8:$I$657,$A$8:$A$657,A98)))</f>
        <v>514.79999999999984</v>
      </c>
      <c r="K98" s="8">
        <f>IF(J98="","",IF(SUMIFS('Facturas y gastos'!$D$10:$D$13,'Facturas y gastos'!$A$10:$A$13,A98)=0,"",J98*SUMIFS('Facturas y gastos'!$G$10:$G$13,'Facturas y gastos'!$A$10:$A$13,A98)/SUMIFS('Facturas y gastos'!$D$10:$D$13,'Facturas y gastos'!$A$10:$A$13,A98)))</f>
        <v>5.1480273497855862</v>
      </c>
      <c r="L98" s="8">
        <f>IF(J98="","",IF(SUMIFS('Facturas y gastos'!$D$10:$D$13,'Facturas y gastos'!$A$10:$A$13,A98)=0,"",J98*SUMIFS('Facturas y gastos'!$H$10:$H$13,'Facturas y gastos'!$A$10:$A$13,A98)/SUMIFS('Facturas y gastos'!$D$10:$D$13,'Facturas y gastos'!$A$10:$A$13,A98)))</f>
        <v>15.443968091916808</v>
      </c>
      <c r="M98" s="8">
        <f>IF(J98="","",IF(SUMIFS('Facturas y gastos'!$D$10:$D$13,'Facturas y gastos'!$A$10:$A$13,A98)=0,"",J98*SUMIFS('Facturas y gastos'!$I$10:$I$13,'Facturas y gastos'!$A$10:$A$13,A98)/SUMIFS('Facturas y gastos'!$D$10:$D$13,'Facturas y gastos'!$A$10:$A$13,A98)))</f>
        <v>90.026377561275325</v>
      </c>
      <c r="N98" s="8">
        <f>IF(J98="","",IF(SUMIFS('Facturas y gastos'!$D$10:$D$13,'Facturas y gastos'!$A$10:$A$13,A98)=0,"",J98*SUMIFS('Facturas y gastos'!$J$10:$J$13,'Facturas y gastos'!$A$10:$A$13,A98)/SUMIFS('Facturas y gastos'!$D$10:$D$13,'Facturas y gastos'!$A$10:$A$13,A98)))</f>
        <v>0</v>
      </c>
      <c r="O98" s="8">
        <f t="shared" si="2"/>
        <v>615.12231830340636</v>
      </c>
      <c r="P98" s="8" t="str">
        <f>IF(OR(O98="",'Facturas y gastos'!$B$24="",'Facturas y gastos'!$B$45&lt;&gt;"OK",SUM($O$8:$O$657)=0),"",O98*'Facturas y gastos'!$B$43/SUM($O$8:$O$657))</f>
        <v/>
      </c>
      <c r="Q98" s="8" t="str">
        <f>IF(OR(O98="",'Facturas y gastos'!$B$5="",P98=""),"",O98*'Facturas y gastos'!$B$5+P98)</f>
        <v/>
      </c>
      <c r="R98" s="8" t="str">
        <f t="shared" si="3"/>
        <v/>
      </c>
    </row>
    <row r="99" spans="1:18">
      <c r="A99" s="25" t="s">
        <v>58</v>
      </c>
      <c r="B99" s="25">
        <v>92</v>
      </c>
      <c r="C99" s="25" t="s">
        <v>225</v>
      </c>
      <c r="D99" s="25" t="s">
        <v>216</v>
      </c>
      <c r="E99" s="25" t="s">
        <v>108</v>
      </c>
      <c r="F99" s="27">
        <v>300</v>
      </c>
      <c r="G99" s="27">
        <v>6</v>
      </c>
      <c r="H99" s="29">
        <v>2.2799999999999998</v>
      </c>
      <c r="I99" s="29">
        <v>684</v>
      </c>
      <c r="J99" s="8">
        <f>IF(OR(A99="",I99=""),"",IF(SUMIFS($I$8:$I$657,$A$8:$A$657,A99)=0,"",I99*SUMIFS('Facturas y gastos'!$D$10:$D$13,'Facturas y gastos'!$A$10:$A$13,A99)/SUMIFS($I$8:$I$657,$A$8:$A$657,A99)))</f>
        <v>683.99999999999989</v>
      </c>
      <c r="K99" s="8">
        <f>IF(J99="","",IF(SUMIFS('Facturas y gastos'!$D$10:$D$13,'Facturas y gastos'!$A$10:$A$13,A99)=0,"",J99*SUMIFS('Facturas y gastos'!$G$10:$G$13,'Facturas y gastos'!$A$10:$A$13,A99)/SUMIFS('Facturas y gastos'!$D$10:$D$13,'Facturas y gastos'!$A$10:$A$13,A99)))</f>
        <v>6.8400363388759544</v>
      </c>
      <c r="L99" s="8">
        <f>IF(J99="","",IF(SUMIFS('Facturas y gastos'!$D$10:$D$13,'Facturas y gastos'!$A$10:$A$13,A99)=0,"",J99*SUMIFS('Facturas y gastos'!$H$10:$H$13,'Facturas y gastos'!$A$10:$A$13,A99)/SUMIFS('Facturas y gastos'!$D$10:$D$13,'Facturas y gastos'!$A$10:$A$13,A99)))</f>
        <v>20.519957604644713</v>
      </c>
      <c r="M99" s="8">
        <f>IF(J99="","",IF(SUMIFS('Facturas y gastos'!$D$10:$D$13,'Facturas y gastos'!$A$10:$A$13,A99)=0,"",J99*SUMIFS('Facturas y gastos'!$I$10:$I$13,'Facturas y gastos'!$A$10:$A$13,A99)/SUMIFS('Facturas y gastos'!$D$10:$D$13,'Facturas y gastos'!$A$10:$A$13,A99)))</f>
        <v>119.61546668980641</v>
      </c>
      <c r="N99" s="8">
        <f>IF(J99="","",IF(SUMIFS('Facturas y gastos'!$D$10:$D$13,'Facturas y gastos'!$A$10:$A$13,A99)=0,"",J99*SUMIFS('Facturas y gastos'!$J$10:$J$13,'Facturas y gastos'!$A$10:$A$13,A99)/SUMIFS('Facturas y gastos'!$D$10:$D$13,'Facturas y gastos'!$A$10:$A$13,A99)))</f>
        <v>0</v>
      </c>
      <c r="O99" s="8">
        <f t="shared" si="2"/>
        <v>817.29538795557505</v>
      </c>
      <c r="P99" s="8" t="str">
        <f>IF(OR(O99="",'Facturas y gastos'!$B$24="",'Facturas y gastos'!$B$45&lt;&gt;"OK",SUM($O$8:$O$657)=0),"",O99*'Facturas y gastos'!$B$43/SUM($O$8:$O$657))</f>
        <v/>
      </c>
      <c r="Q99" s="8" t="str">
        <f>IF(OR(O99="",'Facturas y gastos'!$B$5="",P99=""),"",O99*'Facturas y gastos'!$B$5+P99)</f>
        <v/>
      </c>
      <c r="R99" s="8" t="str">
        <f t="shared" si="3"/>
        <v/>
      </c>
    </row>
    <row r="100" spans="1:18">
      <c r="A100" s="25" t="s">
        <v>58</v>
      </c>
      <c r="B100" s="25">
        <v>93</v>
      </c>
      <c r="C100" s="25" t="s">
        <v>226</v>
      </c>
      <c r="D100" s="25" t="s">
        <v>216</v>
      </c>
      <c r="E100" s="25" t="s">
        <v>108</v>
      </c>
      <c r="F100" s="27">
        <v>300</v>
      </c>
      <c r="G100" s="27">
        <v>3</v>
      </c>
      <c r="H100" s="29">
        <v>1.1000000000000001</v>
      </c>
      <c r="I100" s="29">
        <v>330</v>
      </c>
      <c r="J100" s="8">
        <f>IF(OR(A100="",I100=""),"",IF(SUMIFS($I$8:$I$657,$A$8:$A$657,A100)=0,"",I100*SUMIFS('Facturas y gastos'!$D$10:$D$13,'Facturas y gastos'!$A$10:$A$13,A100)/SUMIFS($I$8:$I$657,$A$8:$A$657,A100)))</f>
        <v>329.99999999999994</v>
      </c>
      <c r="K100" s="8">
        <f>IF(J100="","",IF(SUMIFS('Facturas y gastos'!$D$10:$D$13,'Facturas y gastos'!$A$10:$A$13,A100)=0,"",J100*SUMIFS('Facturas y gastos'!$G$10:$G$13,'Facturas y gastos'!$A$10:$A$13,A100)/SUMIFS('Facturas y gastos'!$D$10:$D$13,'Facturas y gastos'!$A$10:$A$13,A100)))</f>
        <v>3.3000175319138378</v>
      </c>
      <c r="L100" s="8">
        <f>IF(J100="","",IF(SUMIFS('Facturas y gastos'!$D$10:$D$13,'Facturas y gastos'!$A$10:$A$13,A100)=0,"",J100*SUMIFS('Facturas y gastos'!$H$10:$H$13,'Facturas y gastos'!$A$10:$A$13,A100)/SUMIFS('Facturas y gastos'!$D$10:$D$13,'Facturas y gastos'!$A$10:$A$13,A100)))</f>
        <v>9.8999795461005196</v>
      </c>
      <c r="M100" s="8">
        <f>IF(J100="","",IF(SUMIFS('Facturas y gastos'!$D$10:$D$13,'Facturas y gastos'!$A$10:$A$13,A100)=0,"",J100*SUMIFS('Facturas y gastos'!$I$10:$I$13,'Facturas y gastos'!$A$10:$A$13,A100)/SUMIFS('Facturas y gastos'!$D$10:$D$13,'Facturas y gastos'!$A$10:$A$13,A100)))</f>
        <v>57.709216385432917</v>
      </c>
      <c r="N100" s="8">
        <f>IF(J100="","",IF(SUMIFS('Facturas y gastos'!$D$10:$D$13,'Facturas y gastos'!$A$10:$A$13,A100)=0,"",J100*SUMIFS('Facturas y gastos'!$J$10:$J$13,'Facturas y gastos'!$A$10:$A$13,A100)/SUMIFS('Facturas y gastos'!$D$10:$D$13,'Facturas y gastos'!$A$10:$A$13,A100)))</f>
        <v>0</v>
      </c>
      <c r="O100" s="8">
        <f t="shared" si="2"/>
        <v>394.3091783996195</v>
      </c>
      <c r="P100" s="8" t="str">
        <f>IF(OR(O100="",'Facturas y gastos'!$B$24="",'Facturas y gastos'!$B$45&lt;&gt;"OK",SUM($O$8:$O$657)=0),"",O100*'Facturas y gastos'!$B$43/SUM($O$8:$O$657))</f>
        <v/>
      </c>
      <c r="Q100" s="8" t="str">
        <f>IF(OR(O100="",'Facturas y gastos'!$B$5="",P100=""),"",O100*'Facturas y gastos'!$B$5+P100)</f>
        <v/>
      </c>
      <c r="R100" s="8" t="str">
        <f t="shared" si="3"/>
        <v/>
      </c>
    </row>
    <row r="101" spans="1:18">
      <c r="A101" s="25" t="s">
        <v>58</v>
      </c>
      <c r="B101" s="25">
        <v>94</v>
      </c>
      <c r="C101" s="25" t="s">
        <v>227</v>
      </c>
      <c r="D101" s="25" t="s">
        <v>216</v>
      </c>
      <c r="E101" s="25" t="s">
        <v>108</v>
      </c>
      <c r="F101" s="27">
        <v>200</v>
      </c>
      <c r="G101" s="27">
        <v>5</v>
      </c>
      <c r="H101" s="29">
        <v>2.33</v>
      </c>
      <c r="I101" s="29">
        <v>466</v>
      </c>
      <c r="J101" s="8">
        <f>IF(OR(A101="",I101=""),"",IF(SUMIFS($I$8:$I$657,$A$8:$A$657,A101)=0,"",I101*SUMIFS('Facturas y gastos'!$D$10:$D$13,'Facturas y gastos'!$A$10:$A$13,A101)/SUMIFS($I$8:$I$657,$A$8:$A$657,A101)))</f>
        <v>465.99999999999989</v>
      </c>
      <c r="K101" s="8">
        <f>IF(J101="","",IF(SUMIFS('Facturas y gastos'!$D$10:$D$13,'Facturas y gastos'!$A$10:$A$13,A101)=0,"",J101*SUMIFS('Facturas y gastos'!$G$10:$G$13,'Facturas y gastos'!$A$10:$A$13,A101)/SUMIFS('Facturas y gastos'!$D$10:$D$13,'Facturas y gastos'!$A$10:$A$13,A101)))</f>
        <v>4.6600247571874194</v>
      </c>
      <c r="L101" s="8">
        <f>IF(J101="","",IF(SUMIFS('Facturas y gastos'!$D$10:$D$13,'Facturas y gastos'!$A$10:$A$13,A101)=0,"",J101*SUMIFS('Facturas y gastos'!$H$10:$H$13,'Facturas y gastos'!$A$10:$A$13,A101)/SUMIFS('Facturas y gastos'!$D$10:$D$13,'Facturas y gastos'!$A$10:$A$13,A101)))</f>
        <v>13.979971116614673</v>
      </c>
      <c r="M101" s="8">
        <f>IF(J101="","",IF(SUMIFS('Facturas y gastos'!$D$10:$D$13,'Facturas y gastos'!$A$10:$A$13,A101)=0,"",J101*SUMIFS('Facturas y gastos'!$I$10:$I$13,'Facturas y gastos'!$A$10:$A$13,A101)/SUMIFS('Facturas y gastos'!$D$10:$D$13,'Facturas y gastos'!$A$10:$A$13,A101)))</f>
        <v>81.492408592762843</v>
      </c>
      <c r="N101" s="8">
        <f>IF(J101="","",IF(SUMIFS('Facturas y gastos'!$D$10:$D$13,'Facturas y gastos'!$A$10:$A$13,A101)=0,"",J101*SUMIFS('Facturas y gastos'!$J$10:$J$13,'Facturas y gastos'!$A$10:$A$13,A101)/SUMIFS('Facturas y gastos'!$D$10:$D$13,'Facturas y gastos'!$A$10:$A$13,A101)))</f>
        <v>0</v>
      </c>
      <c r="O101" s="8">
        <f t="shared" si="2"/>
        <v>556.81235495218993</v>
      </c>
      <c r="P101" s="8" t="str">
        <f>IF(OR(O101="",'Facturas y gastos'!$B$24="",'Facturas y gastos'!$B$45&lt;&gt;"OK",SUM($O$8:$O$657)=0),"",O101*'Facturas y gastos'!$B$43/SUM($O$8:$O$657))</f>
        <v/>
      </c>
      <c r="Q101" s="8" t="str">
        <f>IF(OR(O101="",'Facturas y gastos'!$B$5="",P101=""),"",O101*'Facturas y gastos'!$B$5+P101)</f>
        <v/>
      </c>
      <c r="R101" s="8" t="str">
        <f t="shared" si="3"/>
        <v/>
      </c>
    </row>
    <row r="102" spans="1:18">
      <c r="A102" s="25" t="s">
        <v>58</v>
      </c>
      <c r="B102" s="25">
        <v>95</v>
      </c>
      <c r="C102" s="25" t="s">
        <v>228</v>
      </c>
      <c r="D102" s="25" t="s">
        <v>216</v>
      </c>
      <c r="E102" s="25" t="s">
        <v>108</v>
      </c>
      <c r="F102" s="27">
        <v>90</v>
      </c>
      <c r="G102" s="27">
        <v>3</v>
      </c>
      <c r="H102" s="29">
        <v>5.4</v>
      </c>
      <c r="I102" s="29">
        <v>486</v>
      </c>
      <c r="J102" s="8">
        <f>IF(OR(A102="",I102=""),"",IF(SUMIFS($I$8:$I$657,$A$8:$A$657,A102)=0,"",I102*SUMIFS('Facturas y gastos'!$D$10:$D$13,'Facturas y gastos'!$A$10:$A$13,A102)/SUMIFS($I$8:$I$657,$A$8:$A$657,A102)))</f>
        <v>485.99999999999989</v>
      </c>
      <c r="K102" s="8">
        <f>IF(J102="","",IF(SUMIFS('Facturas y gastos'!$D$10:$D$13,'Facturas y gastos'!$A$10:$A$13,A102)=0,"",J102*SUMIFS('Facturas y gastos'!$G$10:$G$13,'Facturas y gastos'!$A$10:$A$13,A102)/SUMIFS('Facturas y gastos'!$D$10:$D$13,'Facturas y gastos'!$A$10:$A$13,A102)))</f>
        <v>4.8600258197276514</v>
      </c>
      <c r="L102" s="8">
        <f>IF(J102="","",IF(SUMIFS('Facturas y gastos'!$D$10:$D$13,'Facturas y gastos'!$A$10:$A$13,A102)=0,"",J102*SUMIFS('Facturas y gastos'!$H$10:$H$13,'Facturas y gastos'!$A$10:$A$13,A102)/SUMIFS('Facturas y gastos'!$D$10:$D$13,'Facturas y gastos'!$A$10:$A$13,A102)))</f>
        <v>14.579969876984402</v>
      </c>
      <c r="M102" s="8">
        <f>IF(J102="","",IF(SUMIFS('Facturas y gastos'!$D$10:$D$13,'Facturas y gastos'!$A$10:$A$13,A102)=0,"",J102*SUMIFS('Facturas y gastos'!$I$10:$I$13,'Facturas y gastos'!$A$10:$A$13,A102)/SUMIFS('Facturas y gastos'!$D$10:$D$13,'Facturas y gastos'!$A$10:$A$13,A102)))</f>
        <v>84.989936858546656</v>
      </c>
      <c r="N102" s="8">
        <f>IF(J102="","",IF(SUMIFS('Facturas y gastos'!$D$10:$D$13,'Facturas y gastos'!$A$10:$A$13,A102)=0,"",J102*SUMIFS('Facturas y gastos'!$J$10:$J$13,'Facturas y gastos'!$A$10:$A$13,A102)/SUMIFS('Facturas y gastos'!$D$10:$D$13,'Facturas y gastos'!$A$10:$A$13,A102)))</f>
        <v>0</v>
      </c>
      <c r="O102" s="8">
        <f t="shared" si="2"/>
        <v>580.7098809158033</v>
      </c>
      <c r="P102" s="8" t="str">
        <f>IF(OR(O102="",'Facturas y gastos'!$B$24="",'Facturas y gastos'!$B$45&lt;&gt;"OK",SUM($O$8:$O$657)=0),"",O102*'Facturas y gastos'!$B$43/SUM($O$8:$O$657))</f>
        <v/>
      </c>
      <c r="Q102" s="8" t="str">
        <f>IF(OR(O102="",'Facturas y gastos'!$B$5="",P102=""),"",O102*'Facturas y gastos'!$B$5+P102)</f>
        <v/>
      </c>
      <c r="R102" s="8" t="str">
        <f t="shared" si="3"/>
        <v/>
      </c>
    </row>
    <row r="103" spans="1:18">
      <c r="A103" s="25" t="s">
        <v>58</v>
      </c>
      <c r="B103" s="25">
        <v>96</v>
      </c>
      <c r="C103" s="25" t="s">
        <v>229</v>
      </c>
      <c r="D103" s="25" t="s">
        <v>216</v>
      </c>
      <c r="E103" s="25" t="s">
        <v>108</v>
      </c>
      <c r="F103" s="27">
        <v>120</v>
      </c>
      <c r="G103" s="27">
        <v>5</v>
      </c>
      <c r="H103" s="29">
        <v>5.53</v>
      </c>
      <c r="I103" s="29">
        <v>663.6</v>
      </c>
      <c r="J103" s="8">
        <f>IF(OR(A103="",I103=""),"",IF(SUMIFS($I$8:$I$657,$A$8:$A$657,A103)=0,"",I103*SUMIFS('Facturas y gastos'!$D$10:$D$13,'Facturas y gastos'!$A$10:$A$13,A103)/SUMIFS($I$8:$I$657,$A$8:$A$657,A103)))</f>
        <v>663.59999999999991</v>
      </c>
      <c r="K103" s="8">
        <f>IF(J103="","",IF(SUMIFS('Facturas y gastos'!$D$10:$D$13,'Facturas y gastos'!$A$10:$A$13,A103)=0,"",J103*SUMIFS('Facturas y gastos'!$G$10:$G$13,'Facturas y gastos'!$A$10:$A$13,A103)/SUMIFS('Facturas y gastos'!$D$10:$D$13,'Facturas y gastos'!$A$10:$A$13,A103)))</f>
        <v>6.6360352550849173</v>
      </c>
      <c r="L103" s="8">
        <f>IF(J103="","",IF(SUMIFS('Facturas y gastos'!$D$10:$D$13,'Facturas y gastos'!$A$10:$A$13,A103)=0,"",J103*SUMIFS('Facturas y gastos'!$H$10:$H$13,'Facturas y gastos'!$A$10:$A$13,A103)/SUMIFS('Facturas y gastos'!$D$10:$D$13,'Facturas y gastos'!$A$10:$A$13,A103)))</f>
        <v>19.907958869067592</v>
      </c>
      <c r="M103" s="8">
        <f>IF(J103="","",IF(SUMIFS('Facturas y gastos'!$D$10:$D$13,'Facturas y gastos'!$A$10:$A$13,A103)=0,"",J103*SUMIFS('Facturas y gastos'!$I$10:$I$13,'Facturas y gastos'!$A$10:$A$13,A103)/SUMIFS('Facturas y gastos'!$D$10:$D$13,'Facturas y gastos'!$A$10:$A$13,A103)))</f>
        <v>116.04798785870692</v>
      </c>
      <c r="N103" s="8">
        <f>IF(J103="","",IF(SUMIFS('Facturas y gastos'!$D$10:$D$13,'Facturas y gastos'!$A$10:$A$13,A103)=0,"",J103*SUMIFS('Facturas y gastos'!$J$10:$J$13,'Facturas y gastos'!$A$10:$A$13,A103)/SUMIFS('Facturas y gastos'!$D$10:$D$13,'Facturas y gastos'!$A$10:$A$13,A103)))</f>
        <v>0</v>
      </c>
      <c r="O103" s="8">
        <f t="shared" si="2"/>
        <v>792.91991147268948</v>
      </c>
      <c r="P103" s="8" t="str">
        <f>IF(OR(O103="",'Facturas y gastos'!$B$24="",'Facturas y gastos'!$B$45&lt;&gt;"OK",SUM($O$8:$O$657)=0),"",O103*'Facturas y gastos'!$B$43/SUM($O$8:$O$657))</f>
        <v/>
      </c>
      <c r="Q103" s="8" t="str">
        <f>IF(OR(O103="",'Facturas y gastos'!$B$5="",P103=""),"",O103*'Facturas y gastos'!$B$5+P103)</f>
        <v/>
      </c>
      <c r="R103" s="8" t="str">
        <f t="shared" si="3"/>
        <v/>
      </c>
    </row>
    <row r="104" spans="1:18">
      <c r="A104" s="25" t="s">
        <v>58</v>
      </c>
      <c r="B104" s="25">
        <v>97</v>
      </c>
      <c r="C104" s="25" t="s">
        <v>230</v>
      </c>
      <c r="D104" s="25" t="s">
        <v>216</v>
      </c>
      <c r="E104" s="25" t="s">
        <v>108</v>
      </c>
      <c r="F104" s="27">
        <v>60</v>
      </c>
      <c r="G104" s="27">
        <v>5</v>
      </c>
      <c r="H104" s="29">
        <v>8.1</v>
      </c>
      <c r="I104" s="29">
        <v>486</v>
      </c>
      <c r="J104" s="8">
        <f>IF(OR(A104="",I104=""),"",IF(SUMIFS($I$8:$I$657,$A$8:$A$657,A104)=0,"",I104*SUMIFS('Facturas y gastos'!$D$10:$D$13,'Facturas y gastos'!$A$10:$A$13,A104)/SUMIFS($I$8:$I$657,$A$8:$A$657,A104)))</f>
        <v>485.99999999999989</v>
      </c>
      <c r="K104" s="8">
        <f>IF(J104="","",IF(SUMIFS('Facturas y gastos'!$D$10:$D$13,'Facturas y gastos'!$A$10:$A$13,A104)=0,"",J104*SUMIFS('Facturas y gastos'!$G$10:$G$13,'Facturas y gastos'!$A$10:$A$13,A104)/SUMIFS('Facturas y gastos'!$D$10:$D$13,'Facturas y gastos'!$A$10:$A$13,A104)))</f>
        <v>4.8600258197276514</v>
      </c>
      <c r="L104" s="8">
        <f>IF(J104="","",IF(SUMIFS('Facturas y gastos'!$D$10:$D$13,'Facturas y gastos'!$A$10:$A$13,A104)=0,"",J104*SUMIFS('Facturas y gastos'!$H$10:$H$13,'Facturas y gastos'!$A$10:$A$13,A104)/SUMIFS('Facturas y gastos'!$D$10:$D$13,'Facturas y gastos'!$A$10:$A$13,A104)))</f>
        <v>14.579969876984402</v>
      </c>
      <c r="M104" s="8">
        <f>IF(J104="","",IF(SUMIFS('Facturas y gastos'!$D$10:$D$13,'Facturas y gastos'!$A$10:$A$13,A104)=0,"",J104*SUMIFS('Facturas y gastos'!$I$10:$I$13,'Facturas y gastos'!$A$10:$A$13,A104)/SUMIFS('Facturas y gastos'!$D$10:$D$13,'Facturas y gastos'!$A$10:$A$13,A104)))</f>
        <v>84.989936858546656</v>
      </c>
      <c r="N104" s="8">
        <f>IF(J104="","",IF(SUMIFS('Facturas y gastos'!$D$10:$D$13,'Facturas y gastos'!$A$10:$A$13,A104)=0,"",J104*SUMIFS('Facturas y gastos'!$J$10:$J$13,'Facturas y gastos'!$A$10:$A$13,A104)/SUMIFS('Facturas y gastos'!$D$10:$D$13,'Facturas y gastos'!$A$10:$A$13,A104)))</f>
        <v>0</v>
      </c>
      <c r="O104" s="8">
        <f t="shared" si="2"/>
        <v>580.7098809158033</v>
      </c>
      <c r="P104" s="8" t="str">
        <f>IF(OR(O104="",'Facturas y gastos'!$B$24="",'Facturas y gastos'!$B$45&lt;&gt;"OK",SUM($O$8:$O$657)=0),"",O104*'Facturas y gastos'!$B$43/SUM($O$8:$O$657))</f>
        <v/>
      </c>
      <c r="Q104" s="8" t="str">
        <f>IF(OR(O104="",'Facturas y gastos'!$B$5="",P104=""),"",O104*'Facturas y gastos'!$B$5+P104)</f>
        <v/>
      </c>
      <c r="R104" s="8" t="str">
        <f t="shared" si="3"/>
        <v/>
      </c>
    </row>
    <row r="105" spans="1:18">
      <c r="A105" s="25" t="s">
        <v>58</v>
      </c>
      <c r="B105" s="25">
        <v>98</v>
      </c>
      <c r="C105" s="25" t="s">
        <v>231</v>
      </c>
      <c r="D105" s="25" t="s">
        <v>216</v>
      </c>
      <c r="E105" s="25" t="s">
        <v>108</v>
      </c>
      <c r="F105" s="27">
        <v>80</v>
      </c>
      <c r="G105" s="27">
        <v>5</v>
      </c>
      <c r="H105" s="29">
        <v>3.96</v>
      </c>
      <c r="I105" s="29">
        <v>316.8</v>
      </c>
      <c r="J105" s="8">
        <f>IF(OR(A105="",I105=""),"",IF(SUMIFS($I$8:$I$657,$A$8:$A$657,A105)=0,"",I105*SUMIFS('Facturas y gastos'!$D$10:$D$13,'Facturas y gastos'!$A$10:$A$13,A105)/SUMIFS($I$8:$I$657,$A$8:$A$657,A105)))</f>
        <v>316.79999999999995</v>
      </c>
      <c r="K105" s="8">
        <f>IF(J105="","",IF(SUMIFS('Facturas y gastos'!$D$10:$D$13,'Facturas y gastos'!$A$10:$A$13,A105)=0,"",J105*SUMIFS('Facturas y gastos'!$G$10:$G$13,'Facturas y gastos'!$A$10:$A$13,A105)/SUMIFS('Facturas y gastos'!$D$10:$D$13,'Facturas y gastos'!$A$10:$A$13,A105)))</f>
        <v>3.168016830637284</v>
      </c>
      <c r="L105" s="8">
        <f>IF(J105="","",IF(SUMIFS('Facturas y gastos'!$D$10:$D$13,'Facturas y gastos'!$A$10:$A$13,A105)=0,"",J105*SUMIFS('Facturas y gastos'!$H$10:$H$13,'Facturas y gastos'!$A$10:$A$13,A105)/SUMIFS('Facturas y gastos'!$D$10:$D$13,'Facturas y gastos'!$A$10:$A$13,A105)))</f>
        <v>9.5039803642564991</v>
      </c>
      <c r="M105" s="8">
        <f>IF(J105="","",IF(SUMIFS('Facturas y gastos'!$D$10:$D$13,'Facturas y gastos'!$A$10:$A$13,A105)=0,"",J105*SUMIFS('Facturas y gastos'!$I$10:$I$13,'Facturas y gastos'!$A$10:$A$13,A105)/SUMIFS('Facturas y gastos'!$D$10:$D$13,'Facturas y gastos'!$A$10:$A$13,A105)))</f>
        <v>55.400847730015599</v>
      </c>
      <c r="N105" s="8">
        <f>IF(J105="","",IF(SUMIFS('Facturas y gastos'!$D$10:$D$13,'Facturas y gastos'!$A$10:$A$13,A105)=0,"",J105*SUMIFS('Facturas y gastos'!$J$10:$J$13,'Facturas y gastos'!$A$10:$A$13,A105)/SUMIFS('Facturas y gastos'!$D$10:$D$13,'Facturas y gastos'!$A$10:$A$13,A105)))</f>
        <v>0</v>
      </c>
      <c r="O105" s="8">
        <f t="shared" si="2"/>
        <v>378.53681126363477</v>
      </c>
      <c r="P105" s="8" t="str">
        <f>IF(OR(O105="",'Facturas y gastos'!$B$24="",'Facturas y gastos'!$B$45&lt;&gt;"OK",SUM($O$8:$O$657)=0),"",O105*'Facturas y gastos'!$B$43/SUM($O$8:$O$657))</f>
        <v/>
      </c>
      <c r="Q105" s="8" t="str">
        <f>IF(OR(O105="",'Facturas y gastos'!$B$5="",P105=""),"",O105*'Facturas y gastos'!$B$5+P105)</f>
        <v/>
      </c>
      <c r="R105" s="8" t="str">
        <f t="shared" si="3"/>
        <v/>
      </c>
    </row>
    <row r="106" spans="1:18">
      <c r="A106" s="25" t="s">
        <v>58</v>
      </c>
      <c r="B106" s="25">
        <v>99</v>
      </c>
      <c r="C106" s="25" t="s">
        <v>232</v>
      </c>
      <c r="D106" s="25" t="s">
        <v>216</v>
      </c>
      <c r="E106" s="25" t="s">
        <v>108</v>
      </c>
      <c r="F106" s="27">
        <v>150</v>
      </c>
      <c r="G106" s="27">
        <v>5</v>
      </c>
      <c r="H106" s="29">
        <v>2.33</v>
      </c>
      <c r="I106" s="29">
        <v>349.5</v>
      </c>
      <c r="J106" s="8">
        <f>IF(OR(A106="",I106=""),"",IF(SUMIFS($I$8:$I$657,$A$8:$A$657,A106)=0,"",I106*SUMIFS('Facturas y gastos'!$D$10:$D$13,'Facturas y gastos'!$A$10:$A$13,A106)/SUMIFS($I$8:$I$657,$A$8:$A$657,A106)))</f>
        <v>349.49999999999994</v>
      </c>
      <c r="K106" s="8">
        <f>IF(J106="","",IF(SUMIFS('Facturas y gastos'!$D$10:$D$13,'Facturas y gastos'!$A$10:$A$13,A106)=0,"",J106*SUMIFS('Facturas y gastos'!$G$10:$G$13,'Facturas y gastos'!$A$10:$A$13,A106)/SUMIFS('Facturas y gastos'!$D$10:$D$13,'Facturas y gastos'!$A$10:$A$13,A106)))</f>
        <v>3.4950185678905648</v>
      </c>
      <c r="L106" s="8">
        <f>IF(J106="","",IF(SUMIFS('Facturas y gastos'!$D$10:$D$13,'Facturas y gastos'!$A$10:$A$13,A106)=0,"",J106*SUMIFS('Facturas y gastos'!$H$10:$H$13,'Facturas y gastos'!$A$10:$A$13,A106)/SUMIFS('Facturas y gastos'!$D$10:$D$13,'Facturas y gastos'!$A$10:$A$13,A106)))</f>
        <v>10.484978337461005</v>
      </c>
      <c r="M106" s="8">
        <f>IF(J106="","",IF(SUMIFS('Facturas y gastos'!$D$10:$D$13,'Facturas y gastos'!$A$10:$A$13,A106)=0,"",J106*SUMIFS('Facturas y gastos'!$I$10:$I$13,'Facturas y gastos'!$A$10:$A$13,A106)/SUMIFS('Facturas y gastos'!$D$10:$D$13,'Facturas y gastos'!$A$10:$A$13,A106)))</f>
        <v>61.119306444572132</v>
      </c>
      <c r="N106" s="8">
        <f>IF(J106="","",IF(SUMIFS('Facturas y gastos'!$D$10:$D$13,'Facturas y gastos'!$A$10:$A$13,A106)=0,"",J106*SUMIFS('Facturas y gastos'!$J$10:$J$13,'Facturas y gastos'!$A$10:$A$13,A106)/SUMIFS('Facturas y gastos'!$D$10:$D$13,'Facturas y gastos'!$A$10:$A$13,A106)))</f>
        <v>0</v>
      </c>
      <c r="O106" s="8">
        <f t="shared" si="2"/>
        <v>417.60926621414256</v>
      </c>
      <c r="P106" s="8" t="str">
        <f>IF(OR(O106="",'Facturas y gastos'!$B$24="",'Facturas y gastos'!$B$45&lt;&gt;"OK",SUM($O$8:$O$657)=0),"",O106*'Facturas y gastos'!$B$43/SUM($O$8:$O$657))</f>
        <v/>
      </c>
      <c r="Q106" s="8" t="str">
        <f>IF(OR(O106="",'Facturas y gastos'!$B$5="",P106=""),"",O106*'Facturas y gastos'!$B$5+P106)</f>
        <v/>
      </c>
      <c r="R106" s="8" t="str">
        <f t="shared" si="3"/>
        <v/>
      </c>
    </row>
    <row r="107" spans="1:18">
      <c r="A107" s="25" t="s">
        <v>58</v>
      </c>
      <c r="B107" s="25">
        <v>100</v>
      </c>
      <c r="C107" s="25" t="s">
        <v>233</v>
      </c>
      <c r="D107" s="25" t="s">
        <v>216</v>
      </c>
      <c r="E107" s="25" t="s">
        <v>108</v>
      </c>
      <c r="F107" s="27">
        <v>90</v>
      </c>
      <c r="G107" s="27">
        <v>5</v>
      </c>
      <c r="H107" s="29">
        <v>3.2</v>
      </c>
      <c r="I107" s="29">
        <v>288</v>
      </c>
      <c r="J107" s="8">
        <f>IF(OR(A107="",I107=""),"",IF(SUMIFS($I$8:$I$657,$A$8:$A$657,A107)=0,"",I107*SUMIFS('Facturas y gastos'!$D$10:$D$13,'Facturas y gastos'!$A$10:$A$13,A107)/SUMIFS($I$8:$I$657,$A$8:$A$657,A107)))</f>
        <v>287.99999999999994</v>
      </c>
      <c r="K107" s="8">
        <f>IF(J107="","",IF(SUMIFS('Facturas y gastos'!$D$10:$D$13,'Facturas y gastos'!$A$10:$A$13,A107)=0,"",J107*SUMIFS('Facturas y gastos'!$G$10:$G$13,'Facturas y gastos'!$A$10:$A$13,A107)/SUMIFS('Facturas y gastos'!$D$10:$D$13,'Facturas y gastos'!$A$10:$A$13,A107)))</f>
        <v>2.8800153005793492</v>
      </c>
      <c r="L107" s="8">
        <f>IF(J107="","",IF(SUMIFS('Facturas y gastos'!$D$10:$D$13,'Facturas y gastos'!$A$10:$A$13,A107)=0,"",J107*SUMIFS('Facturas y gastos'!$H$10:$H$13,'Facturas y gastos'!$A$10:$A$13,A107)/SUMIFS('Facturas y gastos'!$D$10:$D$13,'Facturas y gastos'!$A$10:$A$13,A107)))</f>
        <v>8.6399821493240907</v>
      </c>
      <c r="M107" s="8">
        <f>IF(J107="","",IF(SUMIFS('Facturas y gastos'!$D$10:$D$13,'Facturas y gastos'!$A$10:$A$13,A107)=0,"",J107*SUMIFS('Facturas y gastos'!$I$10:$I$13,'Facturas y gastos'!$A$10:$A$13,A107)/SUMIFS('Facturas y gastos'!$D$10:$D$13,'Facturas y gastos'!$A$10:$A$13,A107)))</f>
        <v>50.364407027286909</v>
      </c>
      <c r="N107" s="8">
        <f>IF(J107="","",IF(SUMIFS('Facturas y gastos'!$D$10:$D$13,'Facturas y gastos'!$A$10:$A$13,A107)=0,"",J107*SUMIFS('Facturas y gastos'!$J$10:$J$13,'Facturas y gastos'!$A$10:$A$13,A107)/SUMIFS('Facturas y gastos'!$D$10:$D$13,'Facturas y gastos'!$A$10:$A$13,A107)))</f>
        <v>0</v>
      </c>
      <c r="O107" s="8">
        <f t="shared" si="2"/>
        <v>344.1243738760316</v>
      </c>
      <c r="P107" s="8" t="str">
        <f>IF(OR(O107="",'Facturas y gastos'!$B$24="",'Facturas y gastos'!$B$45&lt;&gt;"OK",SUM($O$8:$O$657)=0),"",O107*'Facturas y gastos'!$B$43/SUM($O$8:$O$657))</f>
        <v/>
      </c>
      <c r="Q107" s="8" t="str">
        <f>IF(OR(O107="",'Facturas y gastos'!$B$5="",P107=""),"",O107*'Facturas y gastos'!$B$5+P107)</f>
        <v/>
      </c>
      <c r="R107" s="8" t="str">
        <f t="shared" si="3"/>
        <v/>
      </c>
    </row>
    <row r="108" spans="1:18">
      <c r="A108" s="25" t="s">
        <v>58</v>
      </c>
      <c r="B108" s="25">
        <v>101</v>
      </c>
      <c r="C108" s="25" t="s">
        <v>234</v>
      </c>
      <c r="D108" s="25" t="s">
        <v>216</v>
      </c>
      <c r="E108" s="25" t="s">
        <v>108</v>
      </c>
      <c r="F108" s="27">
        <v>60</v>
      </c>
      <c r="G108" s="27">
        <v>5</v>
      </c>
      <c r="H108" s="29">
        <v>5.79</v>
      </c>
      <c r="I108" s="29">
        <v>347.46</v>
      </c>
      <c r="J108" s="8">
        <f>IF(OR(A108="",I108=""),"",IF(SUMIFS($I$8:$I$657,$A$8:$A$657,A108)=0,"",I108*SUMIFS('Facturas y gastos'!$D$10:$D$13,'Facturas y gastos'!$A$10:$A$13,A108)/SUMIFS($I$8:$I$657,$A$8:$A$657,A108)))</f>
        <v>347.45999999999992</v>
      </c>
      <c r="K108" s="8">
        <f>IF(J108="","",IF(SUMIFS('Facturas y gastos'!$D$10:$D$13,'Facturas y gastos'!$A$10:$A$13,A108)=0,"",J108*SUMIFS('Facturas y gastos'!$G$10:$G$13,'Facturas y gastos'!$A$10:$A$13,A108)/SUMIFS('Facturas y gastos'!$D$10:$D$13,'Facturas y gastos'!$A$10:$A$13,A108)))</f>
        <v>3.4746184595114609</v>
      </c>
      <c r="L108" s="8">
        <f>IF(J108="","",IF(SUMIFS('Facturas y gastos'!$D$10:$D$13,'Facturas y gastos'!$A$10:$A$13,A108)=0,"",J108*SUMIFS('Facturas y gastos'!$H$10:$H$13,'Facturas y gastos'!$A$10:$A$13,A108)/SUMIFS('Facturas y gastos'!$D$10:$D$13,'Facturas y gastos'!$A$10:$A$13,A108)))</f>
        <v>10.423778463903291</v>
      </c>
      <c r="M108" s="8">
        <f>IF(J108="","",IF(SUMIFS('Facturas y gastos'!$D$10:$D$13,'Facturas y gastos'!$A$10:$A$13,A108)=0,"",J108*SUMIFS('Facturas y gastos'!$I$10:$I$13,'Facturas y gastos'!$A$10:$A$13,A108)/SUMIFS('Facturas y gastos'!$D$10:$D$13,'Facturas y gastos'!$A$10:$A$13,A108)))</f>
        <v>60.762558561462185</v>
      </c>
      <c r="N108" s="8">
        <f>IF(J108="","",IF(SUMIFS('Facturas y gastos'!$D$10:$D$13,'Facturas y gastos'!$A$10:$A$13,A108)=0,"",J108*SUMIFS('Facturas y gastos'!$J$10:$J$13,'Facturas y gastos'!$A$10:$A$13,A108)/SUMIFS('Facturas y gastos'!$D$10:$D$13,'Facturas y gastos'!$A$10:$A$13,A108)))</f>
        <v>0</v>
      </c>
      <c r="O108" s="8">
        <f t="shared" si="2"/>
        <v>415.17171856585395</v>
      </c>
      <c r="P108" s="8" t="str">
        <f>IF(OR(O108="",'Facturas y gastos'!$B$24="",'Facturas y gastos'!$B$45&lt;&gt;"OK",SUM($O$8:$O$657)=0),"",O108*'Facturas y gastos'!$B$43/SUM($O$8:$O$657))</f>
        <v/>
      </c>
      <c r="Q108" s="8" t="str">
        <f>IF(OR(O108="",'Facturas y gastos'!$B$5="",P108=""),"",O108*'Facturas y gastos'!$B$5+P108)</f>
        <v/>
      </c>
      <c r="R108" s="8" t="str">
        <f t="shared" si="3"/>
        <v/>
      </c>
    </row>
    <row r="109" spans="1:18">
      <c r="A109" s="25" t="s">
        <v>58</v>
      </c>
      <c r="B109" s="25">
        <v>102</v>
      </c>
      <c r="C109" s="25" t="s">
        <v>235</v>
      </c>
      <c r="D109" s="25" t="s">
        <v>216</v>
      </c>
      <c r="E109" s="25" t="s">
        <v>108</v>
      </c>
      <c r="F109" s="27">
        <v>48</v>
      </c>
      <c r="G109" s="27">
        <v>3</v>
      </c>
      <c r="H109" s="29">
        <v>6.21</v>
      </c>
      <c r="I109" s="29">
        <v>298.08</v>
      </c>
      <c r="J109" s="8">
        <f>IF(OR(A109="",I109=""),"",IF(SUMIFS($I$8:$I$657,$A$8:$A$657,A109)=0,"",I109*SUMIFS('Facturas y gastos'!$D$10:$D$13,'Facturas y gastos'!$A$10:$A$13,A109)/SUMIFS($I$8:$I$657,$A$8:$A$657,A109)))</f>
        <v>298.07999999999993</v>
      </c>
      <c r="K109" s="8">
        <f>IF(J109="","",IF(SUMIFS('Facturas y gastos'!$D$10:$D$13,'Facturas y gastos'!$A$10:$A$13,A109)=0,"",J109*SUMIFS('Facturas y gastos'!$G$10:$G$13,'Facturas y gastos'!$A$10:$A$13,A109)/SUMIFS('Facturas y gastos'!$D$10:$D$13,'Facturas y gastos'!$A$10:$A$13,A109)))</f>
        <v>2.9808158360996262</v>
      </c>
      <c r="L109" s="8">
        <f>IF(J109="","",IF(SUMIFS('Facturas y gastos'!$D$10:$D$13,'Facturas y gastos'!$A$10:$A$13,A109)=0,"",J109*SUMIFS('Facturas y gastos'!$H$10:$H$13,'Facturas y gastos'!$A$10:$A$13,A109)/SUMIFS('Facturas y gastos'!$D$10:$D$13,'Facturas y gastos'!$A$10:$A$13,A109)))</f>
        <v>8.9423815245504326</v>
      </c>
      <c r="M109" s="8">
        <f>IF(J109="","",IF(SUMIFS('Facturas y gastos'!$D$10:$D$13,'Facturas y gastos'!$A$10:$A$13,A109)=0,"",J109*SUMIFS('Facturas y gastos'!$I$10:$I$13,'Facturas y gastos'!$A$10:$A$13,A109)/SUMIFS('Facturas y gastos'!$D$10:$D$13,'Facturas y gastos'!$A$10:$A$13,A109)))</f>
        <v>52.127161273241946</v>
      </c>
      <c r="N109" s="8">
        <f>IF(J109="","",IF(SUMIFS('Facturas y gastos'!$D$10:$D$13,'Facturas y gastos'!$A$10:$A$13,A109)=0,"",J109*SUMIFS('Facturas y gastos'!$J$10:$J$13,'Facturas y gastos'!$A$10:$A$13,A109)/SUMIFS('Facturas y gastos'!$D$10:$D$13,'Facturas y gastos'!$A$10:$A$13,A109)))</f>
        <v>0</v>
      </c>
      <c r="O109" s="8">
        <f t="shared" si="2"/>
        <v>356.1687269616927</v>
      </c>
      <c r="P109" s="8" t="str">
        <f>IF(OR(O109="",'Facturas y gastos'!$B$24="",'Facturas y gastos'!$B$45&lt;&gt;"OK",SUM($O$8:$O$657)=0),"",O109*'Facturas y gastos'!$B$43/SUM($O$8:$O$657))</f>
        <v/>
      </c>
      <c r="Q109" s="8" t="str">
        <f>IF(OR(O109="",'Facturas y gastos'!$B$5="",P109=""),"",O109*'Facturas y gastos'!$B$5+P109)</f>
        <v/>
      </c>
      <c r="R109" s="8" t="str">
        <f t="shared" si="3"/>
        <v/>
      </c>
    </row>
    <row r="110" spans="1:18">
      <c r="A110" s="25" t="s">
        <v>58</v>
      </c>
      <c r="B110" s="25">
        <v>103</v>
      </c>
      <c r="C110" s="25" t="s">
        <v>236</v>
      </c>
      <c r="D110" s="25" t="s">
        <v>216</v>
      </c>
      <c r="E110" s="25" t="s">
        <v>108</v>
      </c>
      <c r="F110" s="27">
        <v>72</v>
      </c>
      <c r="G110" s="27">
        <v>3</v>
      </c>
      <c r="H110" s="29">
        <v>7.72</v>
      </c>
      <c r="I110" s="29">
        <v>555.84</v>
      </c>
      <c r="J110" s="8">
        <f>IF(OR(A110="",I110=""),"",IF(SUMIFS($I$8:$I$657,$A$8:$A$657,A110)=0,"",I110*SUMIFS('Facturas y gastos'!$D$10:$D$13,'Facturas y gastos'!$A$10:$A$13,A110)/SUMIFS($I$8:$I$657,$A$8:$A$657,A110)))</f>
        <v>555.84</v>
      </c>
      <c r="K110" s="8">
        <f>IF(J110="","",IF(SUMIFS('Facturas y gastos'!$D$10:$D$13,'Facturas y gastos'!$A$10:$A$13,A110)=0,"",J110*SUMIFS('Facturas y gastos'!$G$10:$G$13,'Facturas y gastos'!$A$10:$A$13,A110)/SUMIFS('Facturas y gastos'!$D$10:$D$13,'Facturas y gastos'!$A$10:$A$13,A110)))</f>
        <v>5.5584295301181452</v>
      </c>
      <c r="L110" s="8">
        <f>IF(J110="","",IF(SUMIFS('Facturas y gastos'!$D$10:$D$13,'Facturas y gastos'!$A$10:$A$13,A110)=0,"",J110*SUMIFS('Facturas y gastos'!$H$10:$H$13,'Facturas y gastos'!$A$10:$A$13,A110)/SUMIFS('Facturas y gastos'!$D$10:$D$13,'Facturas y gastos'!$A$10:$A$13,A110)))</f>
        <v>16.675165548195498</v>
      </c>
      <c r="M110" s="8">
        <f>IF(J110="","",IF(SUMIFS('Facturas y gastos'!$D$10:$D$13,'Facturas y gastos'!$A$10:$A$13,A110)=0,"",J110*SUMIFS('Facturas y gastos'!$I$10:$I$13,'Facturas y gastos'!$A$10:$A$13,A110)/SUMIFS('Facturas y gastos'!$D$10:$D$13,'Facturas y gastos'!$A$10:$A$13,A110)))</f>
        <v>97.203305562663743</v>
      </c>
      <c r="N110" s="8">
        <f>IF(J110="","",IF(SUMIFS('Facturas y gastos'!$D$10:$D$13,'Facturas y gastos'!$A$10:$A$13,A110)=0,"",J110*SUMIFS('Facturas y gastos'!$J$10:$J$13,'Facturas y gastos'!$A$10:$A$13,A110)/SUMIFS('Facturas y gastos'!$D$10:$D$13,'Facturas y gastos'!$A$10:$A$13,A110)))</f>
        <v>0</v>
      </c>
      <c r="O110" s="8">
        <f t="shared" si="2"/>
        <v>664.16004158074122</v>
      </c>
      <c r="P110" s="8" t="str">
        <f>IF(OR(O110="",'Facturas y gastos'!$B$24="",'Facturas y gastos'!$B$45&lt;&gt;"OK",SUM($O$8:$O$657)=0),"",O110*'Facturas y gastos'!$B$43/SUM($O$8:$O$657))</f>
        <v/>
      </c>
      <c r="Q110" s="8" t="str">
        <f>IF(OR(O110="",'Facturas y gastos'!$B$5="",P110=""),"",O110*'Facturas y gastos'!$B$5+P110)</f>
        <v/>
      </c>
      <c r="R110" s="8" t="str">
        <f t="shared" si="3"/>
        <v/>
      </c>
    </row>
    <row r="111" spans="1:18">
      <c r="A111" s="25" t="s">
        <v>58</v>
      </c>
      <c r="B111" s="25">
        <v>104</v>
      </c>
      <c r="C111" s="25" t="s">
        <v>237</v>
      </c>
      <c r="D111" s="25" t="s">
        <v>238</v>
      </c>
      <c r="E111" s="25" t="s">
        <v>108</v>
      </c>
      <c r="F111" s="27">
        <v>120</v>
      </c>
      <c r="G111" s="27">
        <v>10</v>
      </c>
      <c r="H111" s="29">
        <v>4.3</v>
      </c>
      <c r="I111" s="29">
        <v>515.82000000000005</v>
      </c>
      <c r="J111" s="8">
        <f>IF(OR(A111="",I111=""),"",IF(SUMIFS($I$8:$I$657,$A$8:$A$657,A111)=0,"",I111*SUMIFS('Facturas y gastos'!$D$10:$D$13,'Facturas y gastos'!$A$10:$A$13,A111)/SUMIFS($I$8:$I$657,$A$8:$A$657,A111)))</f>
        <v>515.82000000000005</v>
      </c>
      <c r="K111" s="8">
        <f>IF(J111="","",IF(SUMIFS('Facturas y gastos'!$D$10:$D$13,'Facturas y gastos'!$A$10:$A$13,A111)=0,"",J111*SUMIFS('Facturas y gastos'!$G$10:$G$13,'Facturas y gastos'!$A$10:$A$13,A111)/SUMIFS('Facturas y gastos'!$D$10:$D$13,'Facturas y gastos'!$A$10:$A$13,A111)))</f>
        <v>5.1582274039751406</v>
      </c>
      <c r="L111" s="8">
        <f>IF(J111="","",IF(SUMIFS('Facturas y gastos'!$D$10:$D$13,'Facturas y gastos'!$A$10:$A$13,A111)=0,"",J111*SUMIFS('Facturas y gastos'!$H$10:$H$13,'Facturas y gastos'!$A$10:$A$13,A111)/SUMIFS('Facturas y gastos'!$D$10:$D$13,'Facturas y gastos'!$A$10:$A$13,A111)))</f>
        <v>15.474568028695671</v>
      </c>
      <c r="M111" s="8">
        <f>IF(J111="","",IF(SUMIFS('Facturas y gastos'!$D$10:$D$13,'Facturas y gastos'!$A$10:$A$13,A111)=0,"",J111*SUMIFS('Facturas y gastos'!$I$10:$I$13,'Facturas y gastos'!$A$10:$A$13,A111)/SUMIFS('Facturas y gastos'!$D$10:$D$13,'Facturas y gastos'!$A$10:$A$13,A111)))</f>
        <v>90.204751502830348</v>
      </c>
      <c r="N111" s="8">
        <f>IF(J111="","",IF(SUMIFS('Facturas y gastos'!$D$10:$D$13,'Facturas y gastos'!$A$10:$A$13,A111)=0,"",J111*SUMIFS('Facturas y gastos'!$J$10:$J$13,'Facturas y gastos'!$A$10:$A$13,A111)/SUMIFS('Facturas y gastos'!$D$10:$D$13,'Facturas y gastos'!$A$10:$A$13,A111)))</f>
        <v>0</v>
      </c>
      <c r="O111" s="8">
        <f t="shared" si="2"/>
        <v>616.34109212755095</v>
      </c>
      <c r="P111" s="8" t="str">
        <f>IF(OR(O111="",'Facturas y gastos'!$B$24="",'Facturas y gastos'!$B$45&lt;&gt;"OK",SUM($O$8:$O$657)=0),"",O111*'Facturas y gastos'!$B$43/SUM($O$8:$O$657))</f>
        <v/>
      </c>
      <c r="Q111" s="8" t="str">
        <f>IF(OR(O111="",'Facturas y gastos'!$B$5="",P111=""),"",O111*'Facturas y gastos'!$B$5+P111)</f>
        <v/>
      </c>
      <c r="R111" s="8" t="str">
        <f t="shared" si="3"/>
        <v/>
      </c>
    </row>
    <row r="112" spans="1:18">
      <c r="A112" s="25" t="s">
        <v>58</v>
      </c>
      <c r="B112" s="25">
        <v>105</v>
      </c>
      <c r="C112" s="25" t="s">
        <v>239</v>
      </c>
      <c r="D112" s="25" t="s">
        <v>216</v>
      </c>
      <c r="E112" s="25" t="s">
        <v>108</v>
      </c>
      <c r="F112" s="27">
        <v>120</v>
      </c>
      <c r="G112" s="27">
        <v>5</v>
      </c>
      <c r="H112" s="29">
        <v>3.2</v>
      </c>
      <c r="I112" s="29">
        <v>384</v>
      </c>
      <c r="J112" s="8">
        <f>IF(OR(A112="",I112=""),"",IF(SUMIFS($I$8:$I$657,$A$8:$A$657,A112)=0,"",I112*SUMIFS('Facturas y gastos'!$D$10:$D$13,'Facturas y gastos'!$A$10:$A$13,A112)/SUMIFS($I$8:$I$657,$A$8:$A$657,A112)))</f>
        <v>383.99999999999994</v>
      </c>
      <c r="K112" s="8">
        <f>IF(J112="","",IF(SUMIFS('Facturas y gastos'!$D$10:$D$13,'Facturas y gastos'!$A$10:$A$13,A112)=0,"",J112*SUMIFS('Facturas y gastos'!$G$10:$G$13,'Facturas y gastos'!$A$10:$A$13,A112)/SUMIFS('Facturas y gastos'!$D$10:$D$13,'Facturas y gastos'!$A$10:$A$13,A112)))</f>
        <v>3.8400204007724659</v>
      </c>
      <c r="L112" s="8">
        <f>IF(J112="","",IF(SUMIFS('Facturas y gastos'!$D$10:$D$13,'Facturas y gastos'!$A$10:$A$13,A112)=0,"",J112*SUMIFS('Facturas y gastos'!$H$10:$H$13,'Facturas y gastos'!$A$10:$A$13,A112)/SUMIFS('Facturas y gastos'!$D$10:$D$13,'Facturas y gastos'!$A$10:$A$13,A112)))</f>
        <v>11.519976199098787</v>
      </c>
      <c r="M112" s="8">
        <f>IF(J112="","",IF(SUMIFS('Facturas y gastos'!$D$10:$D$13,'Facturas y gastos'!$A$10:$A$13,A112)=0,"",J112*SUMIFS('Facturas y gastos'!$I$10:$I$13,'Facturas y gastos'!$A$10:$A$13,A112)/SUMIFS('Facturas y gastos'!$D$10:$D$13,'Facturas y gastos'!$A$10:$A$13,A112)))</f>
        <v>67.152542703049207</v>
      </c>
      <c r="N112" s="8">
        <f>IF(J112="","",IF(SUMIFS('Facturas y gastos'!$D$10:$D$13,'Facturas y gastos'!$A$10:$A$13,A112)=0,"",J112*SUMIFS('Facturas y gastos'!$J$10:$J$13,'Facturas y gastos'!$A$10:$A$13,A112)/SUMIFS('Facturas y gastos'!$D$10:$D$13,'Facturas y gastos'!$A$10:$A$13,A112)))</f>
        <v>0</v>
      </c>
      <c r="O112" s="8">
        <f t="shared" si="2"/>
        <v>458.83249850137548</v>
      </c>
      <c r="P112" s="8" t="str">
        <f>IF(OR(O112="",'Facturas y gastos'!$B$24="",'Facturas y gastos'!$B$45&lt;&gt;"OK",SUM($O$8:$O$657)=0),"",O112*'Facturas y gastos'!$B$43/SUM($O$8:$O$657))</f>
        <v/>
      </c>
      <c r="Q112" s="8" t="str">
        <f>IF(OR(O112="",'Facturas y gastos'!$B$5="",P112=""),"",O112*'Facturas y gastos'!$B$5+P112)</f>
        <v/>
      </c>
      <c r="R112" s="8" t="str">
        <f t="shared" si="3"/>
        <v/>
      </c>
    </row>
    <row r="113" spans="1:18">
      <c r="A113" s="25" t="s">
        <v>58</v>
      </c>
      <c r="B113" s="25">
        <v>106</v>
      </c>
      <c r="C113" s="25" t="s">
        <v>240</v>
      </c>
      <c r="D113" s="25" t="s">
        <v>216</v>
      </c>
      <c r="E113" s="25" t="s">
        <v>108</v>
      </c>
      <c r="F113" s="27">
        <v>150</v>
      </c>
      <c r="G113" s="27">
        <v>5</v>
      </c>
      <c r="H113" s="29">
        <v>3.28</v>
      </c>
      <c r="I113" s="29">
        <v>492.54</v>
      </c>
      <c r="J113" s="8">
        <f>IF(OR(A113="",I113=""),"",IF(SUMIFS($I$8:$I$657,$A$8:$A$657,A113)=0,"",I113*SUMIFS('Facturas y gastos'!$D$10:$D$13,'Facturas y gastos'!$A$10:$A$13,A113)/SUMIFS($I$8:$I$657,$A$8:$A$657,A113)))</f>
        <v>492.53999999999996</v>
      </c>
      <c r="K113" s="8">
        <f>IF(J113="","",IF(SUMIFS('Facturas y gastos'!$D$10:$D$13,'Facturas y gastos'!$A$10:$A$13,A113)=0,"",J113*SUMIFS('Facturas y gastos'!$G$10:$G$13,'Facturas y gastos'!$A$10:$A$13,A113)/SUMIFS('Facturas y gastos'!$D$10:$D$13,'Facturas y gastos'!$A$10:$A$13,A113)))</f>
        <v>4.9254261671783084</v>
      </c>
      <c r="L113" s="8">
        <f>IF(J113="","",IF(SUMIFS('Facturas y gastos'!$D$10:$D$13,'Facturas y gastos'!$A$10:$A$13,A113)=0,"",J113*SUMIFS('Facturas y gastos'!$H$10:$H$13,'Facturas y gastos'!$A$10:$A$13,A113)/SUMIFS('Facturas y gastos'!$D$10:$D$13,'Facturas y gastos'!$A$10:$A$13,A113)))</f>
        <v>14.776169471625304</v>
      </c>
      <c r="M113" s="8">
        <f>IF(J113="","",IF(SUMIFS('Facturas y gastos'!$D$10:$D$13,'Facturas y gastos'!$A$10:$A$13,A113)=0,"",J113*SUMIFS('Facturas y gastos'!$I$10:$I$13,'Facturas y gastos'!$A$10:$A$13,A113)/SUMIFS('Facturas y gastos'!$D$10:$D$13,'Facturas y gastos'!$A$10:$A$13,A113)))</f>
        <v>86.133628601457971</v>
      </c>
      <c r="N113" s="8">
        <f>IF(J113="","",IF(SUMIFS('Facturas y gastos'!$D$10:$D$13,'Facturas y gastos'!$A$10:$A$13,A113)=0,"",J113*SUMIFS('Facturas y gastos'!$J$10:$J$13,'Facturas y gastos'!$A$10:$A$13,A113)/SUMIFS('Facturas y gastos'!$D$10:$D$13,'Facturas y gastos'!$A$10:$A$13,A113)))</f>
        <v>0</v>
      </c>
      <c r="O113" s="8">
        <f t="shared" si="2"/>
        <v>588.5243719059049</v>
      </c>
      <c r="P113" s="8" t="str">
        <f>IF(OR(O113="",'Facturas y gastos'!$B$24="",'Facturas y gastos'!$B$45&lt;&gt;"OK",SUM($O$8:$O$657)=0),"",O113*'Facturas y gastos'!$B$43/SUM($O$8:$O$657))</f>
        <v/>
      </c>
      <c r="Q113" s="8" t="str">
        <f>IF(OR(O113="",'Facturas y gastos'!$B$5="",P113=""),"",O113*'Facturas y gastos'!$B$5+P113)</f>
        <v/>
      </c>
      <c r="R113" s="8" t="str">
        <f t="shared" si="3"/>
        <v/>
      </c>
    </row>
    <row r="114" spans="1:18">
      <c r="A114" s="25" t="s">
        <v>58</v>
      </c>
      <c r="B114" s="25">
        <v>107</v>
      </c>
      <c r="C114" s="25" t="s">
        <v>241</v>
      </c>
      <c r="D114" s="25" t="s">
        <v>216</v>
      </c>
      <c r="E114" s="25" t="s">
        <v>108</v>
      </c>
      <c r="F114" s="27">
        <v>100</v>
      </c>
      <c r="G114" s="27">
        <v>5</v>
      </c>
      <c r="H114" s="29">
        <v>4.1500000000000004</v>
      </c>
      <c r="I114" s="29">
        <v>414.93</v>
      </c>
      <c r="J114" s="8">
        <f>IF(OR(A114="",I114=""),"",IF(SUMIFS($I$8:$I$657,$A$8:$A$657,A114)=0,"",I114*SUMIFS('Facturas y gastos'!$D$10:$D$13,'Facturas y gastos'!$A$10:$A$13,A114)/SUMIFS($I$8:$I$657,$A$8:$A$657,A114)))</f>
        <v>414.92999999999989</v>
      </c>
      <c r="K114" s="8">
        <f>IF(J114="","",IF(SUMIFS('Facturas y gastos'!$D$10:$D$13,'Facturas y gastos'!$A$10:$A$13,A114)=0,"",J114*SUMIFS('Facturas y gastos'!$G$10:$G$13,'Facturas y gastos'!$A$10:$A$13,A114)/SUMIFS('Facturas y gastos'!$D$10:$D$13,'Facturas y gastos'!$A$10:$A$13,A114)))</f>
        <v>4.1493220439909351</v>
      </c>
      <c r="L114" s="8">
        <f>IF(J114="","",IF(SUMIFS('Facturas y gastos'!$D$10:$D$13,'Facturas y gastos'!$A$10:$A$13,A114)=0,"",J114*SUMIFS('Facturas y gastos'!$H$10:$H$13,'Facturas y gastos'!$A$10:$A$13,A114)/SUMIFS('Facturas y gastos'!$D$10:$D$13,'Facturas y gastos'!$A$10:$A$13,A114)))</f>
        <v>12.447874282010572</v>
      </c>
      <c r="M114" s="8">
        <f>IF(J114="","",IF(SUMIFS('Facturas y gastos'!$D$10:$D$13,'Facturas y gastos'!$A$10:$A$13,A114)=0,"",J114*SUMIFS('Facturas y gastos'!$I$10:$I$13,'Facturas y gastos'!$A$10:$A$13,A114)/SUMIFS('Facturas y gastos'!$D$10:$D$13,'Facturas y gastos'!$A$10:$A$13,A114)))</f>
        <v>72.561470166083865</v>
      </c>
      <c r="N114" s="8">
        <f>IF(J114="","",IF(SUMIFS('Facturas y gastos'!$D$10:$D$13,'Facturas y gastos'!$A$10:$A$13,A114)=0,"",J114*SUMIFS('Facturas y gastos'!$J$10:$J$13,'Facturas y gastos'!$A$10:$A$13,A114)/SUMIFS('Facturas y gastos'!$D$10:$D$13,'Facturas y gastos'!$A$10:$A$13,A114)))</f>
        <v>0</v>
      </c>
      <c r="O114" s="8">
        <f t="shared" si="2"/>
        <v>495.79002240410341</v>
      </c>
      <c r="P114" s="8" t="str">
        <f>IF(OR(O114="",'Facturas y gastos'!$B$24="",'Facturas y gastos'!$B$45&lt;&gt;"OK",SUM($O$8:$O$657)=0),"",O114*'Facturas y gastos'!$B$43/SUM($O$8:$O$657))</f>
        <v/>
      </c>
      <c r="Q114" s="8" t="str">
        <f>IF(OR(O114="",'Facturas y gastos'!$B$5="",P114=""),"",O114*'Facturas y gastos'!$B$5+P114)</f>
        <v/>
      </c>
      <c r="R114" s="8" t="str">
        <f t="shared" si="3"/>
        <v/>
      </c>
    </row>
    <row r="115" spans="1:18">
      <c r="A115" s="25" t="s">
        <v>58</v>
      </c>
      <c r="B115" s="25">
        <v>108</v>
      </c>
      <c r="C115" s="25" t="s">
        <v>242</v>
      </c>
      <c r="D115" s="25" t="s">
        <v>243</v>
      </c>
      <c r="E115" s="25" t="s">
        <v>108</v>
      </c>
      <c r="F115" s="27">
        <v>24</v>
      </c>
      <c r="G115" s="27">
        <v>6</v>
      </c>
      <c r="H115" s="29">
        <v>6.75</v>
      </c>
      <c r="I115" s="29">
        <v>162</v>
      </c>
      <c r="J115" s="8">
        <f>IF(OR(A115="",I115=""),"",IF(SUMIFS($I$8:$I$657,$A$8:$A$657,A115)=0,"",I115*SUMIFS('Facturas y gastos'!$D$10:$D$13,'Facturas y gastos'!$A$10:$A$13,A115)/SUMIFS($I$8:$I$657,$A$8:$A$657,A115)))</f>
        <v>161.99999999999997</v>
      </c>
      <c r="K115" s="8">
        <f>IF(J115="","",IF(SUMIFS('Facturas y gastos'!$D$10:$D$13,'Facturas y gastos'!$A$10:$A$13,A115)=0,"",J115*SUMIFS('Facturas y gastos'!$G$10:$G$13,'Facturas y gastos'!$A$10:$A$13,A115)/SUMIFS('Facturas y gastos'!$D$10:$D$13,'Facturas y gastos'!$A$10:$A$13,A115)))</f>
        <v>1.6200086065758841</v>
      </c>
      <c r="L115" s="8">
        <f>IF(J115="","",IF(SUMIFS('Facturas y gastos'!$D$10:$D$13,'Facturas y gastos'!$A$10:$A$13,A115)=0,"",J115*SUMIFS('Facturas y gastos'!$H$10:$H$13,'Facturas y gastos'!$A$10:$A$13,A115)/SUMIFS('Facturas y gastos'!$D$10:$D$13,'Facturas y gastos'!$A$10:$A$13,A115)))</f>
        <v>4.8599899589948006</v>
      </c>
      <c r="M115" s="8">
        <f>IF(J115="","",IF(SUMIFS('Facturas y gastos'!$D$10:$D$13,'Facturas y gastos'!$A$10:$A$13,A115)=0,"",J115*SUMIFS('Facturas y gastos'!$I$10:$I$13,'Facturas y gastos'!$A$10:$A$13,A115)/SUMIFS('Facturas y gastos'!$D$10:$D$13,'Facturas y gastos'!$A$10:$A$13,A115)))</f>
        <v>28.329978952848887</v>
      </c>
      <c r="N115" s="8">
        <f>IF(J115="","",IF(SUMIFS('Facturas y gastos'!$D$10:$D$13,'Facturas y gastos'!$A$10:$A$13,A115)=0,"",J115*SUMIFS('Facturas y gastos'!$J$10:$J$13,'Facturas y gastos'!$A$10:$A$13,A115)/SUMIFS('Facturas y gastos'!$D$10:$D$13,'Facturas y gastos'!$A$10:$A$13,A115)))</f>
        <v>0</v>
      </c>
      <c r="O115" s="8">
        <f t="shared" si="2"/>
        <v>193.56996030526776</v>
      </c>
      <c r="P115" s="8" t="str">
        <f>IF(OR(O115="",'Facturas y gastos'!$B$24="",'Facturas y gastos'!$B$45&lt;&gt;"OK",SUM($O$8:$O$657)=0),"",O115*'Facturas y gastos'!$B$43/SUM($O$8:$O$657))</f>
        <v/>
      </c>
      <c r="Q115" s="8" t="str">
        <f>IF(OR(O115="",'Facturas y gastos'!$B$5="",P115=""),"",O115*'Facturas y gastos'!$B$5+P115)</f>
        <v/>
      </c>
      <c r="R115" s="8" t="str">
        <f t="shared" si="3"/>
        <v/>
      </c>
    </row>
    <row r="116" spans="1:18">
      <c r="A116" s="25" t="s">
        <v>58</v>
      </c>
      <c r="B116" s="25">
        <v>109</v>
      </c>
      <c r="C116" s="25" t="s">
        <v>244</v>
      </c>
      <c r="D116" s="25" t="s">
        <v>243</v>
      </c>
      <c r="E116" s="25" t="s">
        <v>108</v>
      </c>
      <c r="F116" s="27">
        <v>24</v>
      </c>
      <c r="G116" s="27">
        <v>6</v>
      </c>
      <c r="H116" s="29">
        <v>6.75</v>
      </c>
      <c r="I116" s="29">
        <v>162</v>
      </c>
      <c r="J116" s="8">
        <f>IF(OR(A116="",I116=""),"",IF(SUMIFS($I$8:$I$657,$A$8:$A$657,A116)=0,"",I116*SUMIFS('Facturas y gastos'!$D$10:$D$13,'Facturas y gastos'!$A$10:$A$13,A116)/SUMIFS($I$8:$I$657,$A$8:$A$657,A116)))</f>
        <v>161.99999999999997</v>
      </c>
      <c r="K116" s="8">
        <f>IF(J116="","",IF(SUMIFS('Facturas y gastos'!$D$10:$D$13,'Facturas y gastos'!$A$10:$A$13,A116)=0,"",J116*SUMIFS('Facturas y gastos'!$G$10:$G$13,'Facturas y gastos'!$A$10:$A$13,A116)/SUMIFS('Facturas y gastos'!$D$10:$D$13,'Facturas y gastos'!$A$10:$A$13,A116)))</f>
        <v>1.6200086065758841</v>
      </c>
      <c r="L116" s="8">
        <f>IF(J116="","",IF(SUMIFS('Facturas y gastos'!$D$10:$D$13,'Facturas y gastos'!$A$10:$A$13,A116)=0,"",J116*SUMIFS('Facturas y gastos'!$H$10:$H$13,'Facturas y gastos'!$A$10:$A$13,A116)/SUMIFS('Facturas y gastos'!$D$10:$D$13,'Facturas y gastos'!$A$10:$A$13,A116)))</f>
        <v>4.8599899589948006</v>
      </c>
      <c r="M116" s="8">
        <f>IF(J116="","",IF(SUMIFS('Facturas y gastos'!$D$10:$D$13,'Facturas y gastos'!$A$10:$A$13,A116)=0,"",J116*SUMIFS('Facturas y gastos'!$I$10:$I$13,'Facturas y gastos'!$A$10:$A$13,A116)/SUMIFS('Facturas y gastos'!$D$10:$D$13,'Facturas y gastos'!$A$10:$A$13,A116)))</f>
        <v>28.329978952848887</v>
      </c>
      <c r="N116" s="8">
        <f>IF(J116="","",IF(SUMIFS('Facturas y gastos'!$D$10:$D$13,'Facturas y gastos'!$A$10:$A$13,A116)=0,"",J116*SUMIFS('Facturas y gastos'!$J$10:$J$13,'Facturas y gastos'!$A$10:$A$13,A116)/SUMIFS('Facturas y gastos'!$D$10:$D$13,'Facturas y gastos'!$A$10:$A$13,A116)))</f>
        <v>0</v>
      </c>
      <c r="O116" s="8">
        <f t="shared" si="2"/>
        <v>193.56996030526776</v>
      </c>
      <c r="P116" s="8" t="str">
        <f>IF(OR(O116="",'Facturas y gastos'!$B$24="",'Facturas y gastos'!$B$45&lt;&gt;"OK",SUM($O$8:$O$657)=0),"",O116*'Facturas y gastos'!$B$43/SUM($O$8:$O$657))</f>
        <v/>
      </c>
      <c r="Q116" s="8" t="str">
        <f>IF(OR(O116="",'Facturas y gastos'!$B$5="",P116=""),"",O116*'Facturas y gastos'!$B$5+P116)</f>
        <v/>
      </c>
      <c r="R116" s="8" t="str">
        <f t="shared" si="3"/>
        <v/>
      </c>
    </row>
    <row r="117" spans="1:18">
      <c r="A117" s="25" t="s">
        <v>58</v>
      </c>
      <c r="B117" s="25">
        <v>110</v>
      </c>
      <c r="C117" s="25" t="s">
        <v>245</v>
      </c>
      <c r="D117" s="25" t="s">
        <v>243</v>
      </c>
      <c r="E117" s="25" t="s">
        <v>108</v>
      </c>
      <c r="F117" s="27">
        <v>24</v>
      </c>
      <c r="G117" s="27">
        <v>6</v>
      </c>
      <c r="H117" s="29">
        <v>7.59</v>
      </c>
      <c r="I117" s="29">
        <v>182.16</v>
      </c>
      <c r="J117" s="8">
        <f>IF(OR(A117="",I117=""),"",IF(SUMIFS($I$8:$I$657,$A$8:$A$657,A117)=0,"",I117*SUMIFS('Facturas y gastos'!$D$10:$D$13,'Facturas y gastos'!$A$10:$A$13,A117)/SUMIFS($I$8:$I$657,$A$8:$A$657,A117)))</f>
        <v>182.15999999999997</v>
      </c>
      <c r="K117" s="8">
        <f>IF(J117="","",IF(SUMIFS('Facturas y gastos'!$D$10:$D$13,'Facturas y gastos'!$A$10:$A$13,A117)=0,"",J117*SUMIFS('Facturas y gastos'!$G$10:$G$13,'Facturas y gastos'!$A$10:$A$13,A117)/SUMIFS('Facturas y gastos'!$D$10:$D$13,'Facturas y gastos'!$A$10:$A$13,A117)))</f>
        <v>1.8216096776164385</v>
      </c>
      <c r="L117" s="8">
        <f>IF(J117="","",IF(SUMIFS('Facturas y gastos'!$D$10:$D$13,'Facturas y gastos'!$A$10:$A$13,A117)=0,"",J117*SUMIFS('Facturas y gastos'!$H$10:$H$13,'Facturas y gastos'!$A$10:$A$13,A117)/SUMIFS('Facturas y gastos'!$D$10:$D$13,'Facturas y gastos'!$A$10:$A$13,A117)))</f>
        <v>5.464788709447487</v>
      </c>
      <c r="M117" s="8">
        <f>IF(J117="","",IF(SUMIFS('Facturas y gastos'!$D$10:$D$13,'Facturas y gastos'!$A$10:$A$13,A117)=0,"",J117*SUMIFS('Facturas y gastos'!$I$10:$I$13,'Facturas y gastos'!$A$10:$A$13,A117)/SUMIFS('Facturas y gastos'!$D$10:$D$13,'Facturas y gastos'!$A$10:$A$13,A117)))</f>
        <v>31.855487444758971</v>
      </c>
      <c r="N117" s="8">
        <f>IF(J117="","",IF(SUMIFS('Facturas y gastos'!$D$10:$D$13,'Facturas y gastos'!$A$10:$A$13,A117)=0,"",J117*SUMIFS('Facturas y gastos'!$J$10:$J$13,'Facturas y gastos'!$A$10:$A$13,A117)/SUMIFS('Facturas y gastos'!$D$10:$D$13,'Facturas y gastos'!$A$10:$A$13,A117)))</f>
        <v>0</v>
      </c>
      <c r="O117" s="8">
        <f t="shared" si="2"/>
        <v>217.65866647658999</v>
      </c>
      <c r="P117" s="8" t="str">
        <f>IF(OR(O117="",'Facturas y gastos'!$B$24="",'Facturas y gastos'!$B$45&lt;&gt;"OK",SUM($O$8:$O$657)=0),"",O117*'Facturas y gastos'!$B$43/SUM($O$8:$O$657))</f>
        <v/>
      </c>
      <c r="Q117" s="8" t="str">
        <f>IF(OR(O117="",'Facturas y gastos'!$B$5="",P117=""),"",O117*'Facturas y gastos'!$B$5+P117)</f>
        <v/>
      </c>
      <c r="R117" s="8" t="str">
        <f t="shared" si="3"/>
        <v/>
      </c>
    </row>
    <row r="118" spans="1:18">
      <c r="A118" s="25" t="s">
        <v>58</v>
      </c>
      <c r="B118" s="25">
        <v>111</v>
      </c>
      <c r="C118" s="25" t="s">
        <v>246</v>
      </c>
      <c r="D118" s="25" t="s">
        <v>243</v>
      </c>
      <c r="E118" s="25" t="s">
        <v>108</v>
      </c>
      <c r="F118" s="27">
        <v>18</v>
      </c>
      <c r="G118" s="27">
        <v>3</v>
      </c>
      <c r="H118" s="29">
        <v>6.07</v>
      </c>
      <c r="I118" s="29">
        <v>109.26</v>
      </c>
      <c r="J118" s="8">
        <f>IF(OR(A118="",I118=""),"",IF(SUMIFS($I$8:$I$657,$A$8:$A$657,A118)=0,"",I118*SUMIFS('Facturas y gastos'!$D$10:$D$13,'Facturas y gastos'!$A$10:$A$13,A118)/SUMIFS($I$8:$I$657,$A$8:$A$657,A118)))</f>
        <v>109.25999999999999</v>
      </c>
      <c r="K118" s="8">
        <f>IF(J118="","",IF(SUMIFS('Facturas y gastos'!$D$10:$D$13,'Facturas y gastos'!$A$10:$A$13,A118)=0,"",J118*SUMIFS('Facturas y gastos'!$G$10:$G$13,'Facturas y gastos'!$A$10:$A$13,A118)/SUMIFS('Facturas y gastos'!$D$10:$D$13,'Facturas y gastos'!$A$10:$A$13,A118)))</f>
        <v>1.0926058046572908</v>
      </c>
      <c r="L118" s="8">
        <f>IF(J118="","",IF(SUMIFS('Facturas y gastos'!$D$10:$D$13,'Facturas y gastos'!$A$10:$A$13,A118)=0,"",J118*SUMIFS('Facturas y gastos'!$H$10:$H$13,'Facturas y gastos'!$A$10:$A$13,A118)/SUMIFS('Facturas y gastos'!$D$10:$D$13,'Facturas y gastos'!$A$10:$A$13,A118)))</f>
        <v>3.277793227899827</v>
      </c>
      <c r="M118" s="8">
        <f>IF(J118="","",IF(SUMIFS('Facturas y gastos'!$D$10:$D$13,'Facturas y gastos'!$A$10:$A$13,A118)=0,"",J118*SUMIFS('Facturas y gastos'!$I$10:$I$13,'Facturas y gastos'!$A$10:$A$13,A118)/SUMIFS('Facturas y gastos'!$D$10:$D$13,'Facturas y gastos'!$A$10:$A$13,A118)))</f>
        <v>19.106996915976971</v>
      </c>
      <c r="N118" s="8">
        <f>IF(J118="","",IF(SUMIFS('Facturas y gastos'!$D$10:$D$13,'Facturas y gastos'!$A$10:$A$13,A118)=0,"",J118*SUMIFS('Facturas y gastos'!$J$10:$J$13,'Facturas y gastos'!$A$10:$A$13,A118)/SUMIFS('Facturas y gastos'!$D$10:$D$13,'Facturas y gastos'!$A$10:$A$13,A118)))</f>
        <v>0</v>
      </c>
      <c r="O118" s="8">
        <f t="shared" si="2"/>
        <v>130.55218433921948</v>
      </c>
      <c r="P118" s="8" t="str">
        <f>IF(OR(O118="",'Facturas y gastos'!$B$24="",'Facturas y gastos'!$B$45&lt;&gt;"OK",SUM($O$8:$O$657)=0),"",O118*'Facturas y gastos'!$B$43/SUM($O$8:$O$657))</f>
        <v/>
      </c>
      <c r="Q118" s="8" t="str">
        <f>IF(OR(O118="",'Facturas y gastos'!$B$5="",P118=""),"",O118*'Facturas y gastos'!$B$5+P118)</f>
        <v/>
      </c>
      <c r="R118" s="8" t="str">
        <f t="shared" si="3"/>
        <v/>
      </c>
    </row>
    <row r="119" spans="1:18">
      <c r="A119" s="25" t="s">
        <v>58</v>
      </c>
      <c r="B119" s="25">
        <v>112</v>
      </c>
      <c r="C119" s="25" t="s">
        <v>247</v>
      </c>
      <c r="D119" s="25"/>
      <c r="E119" s="25" t="s">
        <v>108</v>
      </c>
      <c r="F119" s="27">
        <v>500</v>
      </c>
      <c r="G119" s="27">
        <v>10</v>
      </c>
      <c r="H119" s="29">
        <v>2.61</v>
      </c>
      <c r="I119" s="29">
        <v>1305.97</v>
      </c>
      <c r="J119" s="8">
        <f>IF(OR(A119="",I119=""),"",IF(SUMIFS($I$8:$I$657,$A$8:$A$657,A119)=0,"",I119*SUMIFS('Facturas y gastos'!$D$10:$D$13,'Facturas y gastos'!$A$10:$A$13,A119)/SUMIFS($I$8:$I$657,$A$8:$A$657,A119)))</f>
        <v>1305.9699999999998</v>
      </c>
      <c r="K119" s="8">
        <f>IF(J119="","",IF(SUMIFS('Facturas y gastos'!$D$10:$D$13,'Facturas y gastos'!$A$10:$A$13,A119)=0,"",J119*SUMIFS('Facturas y gastos'!$G$10:$G$13,'Facturas y gastos'!$A$10:$A$13,A119)/SUMIFS('Facturas y gastos'!$D$10:$D$13,'Facturas y gastos'!$A$10:$A$13,A119)))</f>
        <v>13.059769382283378</v>
      </c>
      <c r="L119" s="8">
        <f>IF(J119="","",IF(SUMIFS('Facturas y gastos'!$D$10:$D$13,'Facturas y gastos'!$A$10:$A$13,A119)=0,"",J119*SUMIFS('Facturas y gastos'!$H$10:$H$13,'Facturas y gastos'!$A$10:$A$13,A119)/SUMIFS('Facturas y gastos'!$D$10:$D$13,'Facturas y gastos'!$A$10:$A$13,A119)))</f>
        <v>39.179019054002715</v>
      </c>
      <c r="M119" s="8">
        <f>IF(J119="","",IF(SUMIFS('Facturas y gastos'!$D$10:$D$13,'Facturas y gastos'!$A$10:$A$13,A119)=0,"",J119*SUMIFS('Facturas y gastos'!$I$10:$I$13,'Facturas y gastos'!$A$10:$A$13,A119)/SUMIFS('Facturas y gastos'!$D$10:$D$13,'Facturas y gastos'!$A$10:$A$13,A119)))</f>
        <v>228.3833494632843</v>
      </c>
      <c r="N119" s="8">
        <f>IF(J119="","",IF(SUMIFS('Facturas y gastos'!$D$10:$D$13,'Facturas y gastos'!$A$10:$A$13,A119)=0,"",J119*SUMIFS('Facturas y gastos'!$J$10:$J$13,'Facturas y gastos'!$A$10:$A$13,A119)/SUMIFS('Facturas y gastos'!$D$10:$D$13,'Facturas y gastos'!$A$10:$A$13,A119)))</f>
        <v>0</v>
      </c>
      <c r="O119" s="8">
        <f t="shared" si="2"/>
        <v>1560.4725991350035</v>
      </c>
      <c r="P119" s="8" t="str">
        <f>IF(OR(O119="",'Facturas y gastos'!$B$24="",'Facturas y gastos'!$B$45&lt;&gt;"OK",SUM($O$8:$O$657)=0),"",O119*'Facturas y gastos'!$B$43/SUM($O$8:$O$657))</f>
        <v/>
      </c>
      <c r="Q119" s="8" t="str">
        <f>IF(OR(O119="",'Facturas y gastos'!$B$5="",P119=""),"",O119*'Facturas y gastos'!$B$5+P119)</f>
        <v/>
      </c>
      <c r="R119" s="8" t="str">
        <f t="shared" si="3"/>
        <v/>
      </c>
    </row>
    <row r="120" spans="1:18">
      <c r="A120" s="25" t="s">
        <v>58</v>
      </c>
      <c r="B120" s="25">
        <v>113</v>
      </c>
      <c r="C120" s="25" t="s">
        <v>248</v>
      </c>
      <c r="D120" s="25" t="s">
        <v>249</v>
      </c>
      <c r="E120" s="25" t="s">
        <v>108</v>
      </c>
      <c r="F120" s="27">
        <v>144</v>
      </c>
      <c r="G120" s="27">
        <v>3</v>
      </c>
      <c r="H120" s="29">
        <v>2.66</v>
      </c>
      <c r="I120" s="29">
        <v>382.57</v>
      </c>
      <c r="J120" s="8">
        <f>IF(OR(A120="",I120=""),"",IF(SUMIFS($I$8:$I$657,$A$8:$A$657,A120)=0,"",I120*SUMIFS('Facturas y gastos'!$D$10:$D$13,'Facturas y gastos'!$A$10:$A$13,A120)/SUMIFS($I$8:$I$657,$A$8:$A$657,A120)))</f>
        <v>382.56999999999994</v>
      </c>
      <c r="K120" s="8">
        <f>IF(J120="","",IF(SUMIFS('Facturas y gastos'!$D$10:$D$13,'Facturas y gastos'!$A$10:$A$13,A120)=0,"",J120*SUMIFS('Facturas y gastos'!$G$10:$G$13,'Facturas y gastos'!$A$10:$A$13,A120)/SUMIFS('Facturas y gastos'!$D$10:$D$13,'Facturas y gastos'!$A$10:$A$13,A120)))</f>
        <v>3.8257203248008391</v>
      </c>
      <c r="L120" s="8">
        <f>IF(J120="","",IF(SUMIFS('Facturas y gastos'!$D$10:$D$13,'Facturas y gastos'!$A$10:$A$13,A120)=0,"",J120*SUMIFS('Facturas y gastos'!$H$10:$H$13,'Facturas y gastos'!$A$10:$A$13,A120)/SUMIFS('Facturas y gastos'!$D$10:$D$13,'Facturas y gastos'!$A$10:$A$13,A120)))</f>
        <v>11.47707628773235</v>
      </c>
      <c r="M120" s="8">
        <f>IF(J120="","",IF(SUMIFS('Facturas y gastos'!$D$10:$D$13,'Facturas y gastos'!$A$10:$A$13,A120)=0,"",J120*SUMIFS('Facturas y gastos'!$I$10:$I$13,'Facturas y gastos'!$A$10:$A$13,A120)/SUMIFS('Facturas y gastos'!$D$10:$D$13,'Facturas y gastos'!$A$10:$A$13,A120)))</f>
        <v>66.902469432045663</v>
      </c>
      <c r="N120" s="8">
        <f>IF(J120="","",IF(SUMIFS('Facturas y gastos'!$D$10:$D$13,'Facturas y gastos'!$A$10:$A$13,A120)=0,"",J120*SUMIFS('Facturas y gastos'!$J$10:$J$13,'Facturas y gastos'!$A$10:$A$13,A120)/SUMIFS('Facturas y gastos'!$D$10:$D$13,'Facturas y gastos'!$A$10:$A$13,A120)))</f>
        <v>0</v>
      </c>
      <c r="O120" s="8">
        <f t="shared" si="2"/>
        <v>457.12382539497713</v>
      </c>
      <c r="P120" s="8" t="str">
        <f>IF(OR(O120="",'Facturas y gastos'!$B$24="",'Facturas y gastos'!$B$45&lt;&gt;"OK",SUM($O$8:$O$657)=0),"",O120*'Facturas y gastos'!$B$43/SUM($O$8:$O$657))</f>
        <v/>
      </c>
      <c r="Q120" s="8" t="str">
        <f>IF(OR(O120="",'Facturas y gastos'!$B$5="",P120=""),"",O120*'Facturas y gastos'!$B$5+P120)</f>
        <v/>
      </c>
      <c r="R120" s="8" t="str">
        <f t="shared" si="3"/>
        <v/>
      </c>
    </row>
    <row r="121" spans="1:18">
      <c r="A121" s="25" t="s">
        <v>58</v>
      </c>
      <c r="B121" s="25">
        <v>114</v>
      </c>
      <c r="C121" s="25" t="s">
        <v>250</v>
      </c>
      <c r="D121" s="25" t="s">
        <v>251</v>
      </c>
      <c r="E121" s="25" t="s">
        <v>108</v>
      </c>
      <c r="F121" s="27">
        <v>432</v>
      </c>
      <c r="G121" s="27">
        <v>3</v>
      </c>
      <c r="H121" s="29">
        <v>0.91</v>
      </c>
      <c r="I121" s="29">
        <v>393.31</v>
      </c>
      <c r="J121" s="8">
        <f>IF(OR(A121="",I121=""),"",IF(SUMIFS($I$8:$I$657,$A$8:$A$657,A121)=0,"",I121*SUMIFS('Facturas y gastos'!$D$10:$D$13,'Facturas y gastos'!$A$10:$A$13,A121)/SUMIFS($I$8:$I$657,$A$8:$A$657,A121)))</f>
        <v>393.30999999999989</v>
      </c>
      <c r="K121" s="8">
        <f>IF(J121="","",IF(SUMIFS('Facturas y gastos'!$D$10:$D$13,'Facturas y gastos'!$A$10:$A$13,A121)=0,"",J121*SUMIFS('Facturas y gastos'!$G$10:$G$13,'Facturas y gastos'!$A$10:$A$13,A121)/SUMIFS('Facturas y gastos'!$D$10:$D$13,'Facturas y gastos'!$A$10:$A$13,A121)))</f>
        <v>3.9331208953849437</v>
      </c>
      <c r="L121" s="8">
        <f>IF(J121="","",IF(SUMIFS('Facturas y gastos'!$D$10:$D$13,'Facturas y gastos'!$A$10:$A$13,A121)=0,"",J121*SUMIFS('Facturas y gastos'!$H$10:$H$13,'Facturas y gastos'!$A$10:$A$13,A121)/SUMIFS('Facturas y gastos'!$D$10:$D$13,'Facturas y gastos'!$A$10:$A$13,A121)))</f>
        <v>11.799275622050892</v>
      </c>
      <c r="M121" s="8">
        <f>IF(J121="","",IF(SUMIFS('Facturas y gastos'!$D$10:$D$13,'Facturas y gastos'!$A$10:$A$13,A121)=0,"",J121*SUMIFS('Facturas y gastos'!$I$10:$I$13,'Facturas y gastos'!$A$10:$A$13,A121)/SUMIFS('Facturas y gastos'!$D$10:$D$13,'Facturas y gastos'!$A$10:$A$13,A121)))</f>
        <v>68.780642110771566</v>
      </c>
      <c r="N121" s="8">
        <f>IF(J121="","",IF(SUMIFS('Facturas y gastos'!$D$10:$D$13,'Facturas y gastos'!$A$10:$A$13,A121)=0,"",J121*SUMIFS('Facturas y gastos'!$J$10:$J$13,'Facturas y gastos'!$A$10:$A$13,A121)/SUMIFS('Facturas y gastos'!$D$10:$D$13,'Facturas y gastos'!$A$10:$A$13,A121)))</f>
        <v>0</v>
      </c>
      <c r="O121" s="8">
        <f t="shared" si="2"/>
        <v>469.95679683743742</v>
      </c>
      <c r="P121" s="8" t="str">
        <f>IF(OR(O121="",'Facturas y gastos'!$B$24="",'Facturas y gastos'!$B$45&lt;&gt;"OK",SUM($O$8:$O$657)=0),"",O121*'Facturas y gastos'!$B$43/SUM($O$8:$O$657))</f>
        <v/>
      </c>
      <c r="Q121" s="8" t="str">
        <f>IF(OR(O121="",'Facturas y gastos'!$B$5="",P121=""),"",O121*'Facturas y gastos'!$B$5+P121)</f>
        <v/>
      </c>
      <c r="R121" s="8" t="str">
        <f t="shared" si="3"/>
        <v/>
      </c>
    </row>
    <row r="122" spans="1:18">
      <c r="A122" s="25" t="s">
        <v>58</v>
      </c>
      <c r="B122" s="25">
        <v>115</v>
      </c>
      <c r="C122" s="25" t="s">
        <v>252</v>
      </c>
      <c r="D122" s="25" t="s">
        <v>253</v>
      </c>
      <c r="E122" s="25" t="s">
        <v>108</v>
      </c>
      <c r="F122" s="27">
        <v>120</v>
      </c>
      <c r="G122" s="27">
        <v>5</v>
      </c>
      <c r="H122" s="29">
        <v>3.28</v>
      </c>
      <c r="I122" s="29">
        <v>394.03</v>
      </c>
      <c r="J122" s="8">
        <f>IF(OR(A122="",I122=""),"",IF(SUMIFS($I$8:$I$657,$A$8:$A$657,A122)=0,"",I122*SUMIFS('Facturas y gastos'!$D$10:$D$13,'Facturas y gastos'!$A$10:$A$13,A122)/SUMIFS($I$8:$I$657,$A$8:$A$657,A122)))</f>
        <v>394.02999999999992</v>
      </c>
      <c r="K122" s="8">
        <f>IF(J122="","",IF(SUMIFS('Facturas y gastos'!$D$10:$D$13,'Facturas y gastos'!$A$10:$A$13,A122)=0,"",J122*SUMIFS('Facturas y gastos'!$G$10:$G$13,'Facturas y gastos'!$A$10:$A$13,A122)/SUMIFS('Facturas y gastos'!$D$10:$D$13,'Facturas y gastos'!$A$10:$A$13,A122)))</f>
        <v>3.9403209336363925</v>
      </c>
      <c r="L122" s="8">
        <f>IF(J122="","",IF(SUMIFS('Facturas y gastos'!$D$10:$D$13,'Facturas y gastos'!$A$10:$A$13,A122)=0,"",J122*SUMIFS('Facturas y gastos'!$H$10:$H$13,'Facturas y gastos'!$A$10:$A$13,A122)/SUMIFS('Facturas y gastos'!$D$10:$D$13,'Facturas y gastos'!$A$10:$A$13,A122)))</f>
        <v>11.820875577424204</v>
      </c>
      <c r="M122" s="8">
        <f>IF(J122="","",IF(SUMIFS('Facturas y gastos'!$D$10:$D$13,'Facturas y gastos'!$A$10:$A$13,A122)=0,"",J122*SUMIFS('Facturas y gastos'!$I$10:$I$13,'Facturas y gastos'!$A$10:$A$13,A122)/SUMIFS('Facturas y gastos'!$D$10:$D$13,'Facturas y gastos'!$A$10:$A$13,A122)))</f>
        <v>68.906553128339795</v>
      </c>
      <c r="N122" s="8">
        <f>IF(J122="","",IF(SUMIFS('Facturas y gastos'!$D$10:$D$13,'Facturas y gastos'!$A$10:$A$13,A122)=0,"",J122*SUMIFS('Facturas y gastos'!$J$10:$J$13,'Facturas y gastos'!$A$10:$A$13,A122)/SUMIFS('Facturas y gastos'!$D$10:$D$13,'Facturas y gastos'!$A$10:$A$13,A122)))</f>
        <v>0</v>
      </c>
      <c r="O122" s="8">
        <f t="shared" si="2"/>
        <v>470.81710777212754</v>
      </c>
      <c r="P122" s="8" t="str">
        <f>IF(OR(O122="",'Facturas y gastos'!$B$24="",'Facturas y gastos'!$B$45&lt;&gt;"OK",SUM($O$8:$O$657)=0),"",O122*'Facturas y gastos'!$B$43/SUM($O$8:$O$657))</f>
        <v/>
      </c>
      <c r="Q122" s="8" t="str">
        <f>IF(OR(O122="",'Facturas y gastos'!$B$5="",P122=""),"",O122*'Facturas y gastos'!$B$5+P122)</f>
        <v/>
      </c>
      <c r="R122" s="8" t="str">
        <f t="shared" si="3"/>
        <v/>
      </c>
    </row>
    <row r="123" spans="1:18">
      <c r="A123" s="25" t="s">
        <v>58</v>
      </c>
      <c r="B123" s="25">
        <v>116</v>
      </c>
      <c r="C123" s="25" t="s">
        <v>254</v>
      </c>
      <c r="D123" s="25" t="s">
        <v>253</v>
      </c>
      <c r="E123" s="25" t="s">
        <v>108</v>
      </c>
      <c r="F123" s="27">
        <v>120</v>
      </c>
      <c r="G123" s="27">
        <v>5</v>
      </c>
      <c r="H123" s="29">
        <v>2.99</v>
      </c>
      <c r="I123" s="29">
        <v>358.21</v>
      </c>
      <c r="J123" s="8">
        <f>IF(OR(A123="",I123=""),"",IF(SUMIFS($I$8:$I$657,$A$8:$A$657,A123)=0,"",I123*SUMIFS('Facturas y gastos'!$D$10:$D$13,'Facturas y gastos'!$A$10:$A$13,A123)/SUMIFS($I$8:$I$657,$A$8:$A$657,A123)))</f>
        <v>358.20999999999992</v>
      </c>
      <c r="K123" s="8">
        <f>IF(J123="","",IF(SUMIFS('Facturas y gastos'!$D$10:$D$13,'Facturas y gastos'!$A$10:$A$13,A123)=0,"",J123*SUMIFS('Facturas y gastos'!$G$10:$G$13,'Facturas y gastos'!$A$10:$A$13,A123)/SUMIFS('Facturas y gastos'!$D$10:$D$13,'Facturas y gastos'!$A$10:$A$13,A123)))</f>
        <v>3.5821190306268358</v>
      </c>
      <c r="L123" s="8">
        <f>IF(J123="","",IF(SUMIFS('Facturas y gastos'!$D$10:$D$13,'Facturas y gastos'!$A$10:$A$13,A123)=0,"",J123*SUMIFS('Facturas y gastos'!$H$10:$H$13,'Facturas y gastos'!$A$10:$A$13,A123)/SUMIFS('Facturas y gastos'!$D$10:$D$13,'Facturas y gastos'!$A$10:$A$13,A123)))</f>
        <v>10.746277797602021</v>
      </c>
      <c r="M123" s="8">
        <f>IF(J123="","",IF(SUMIFS('Facturas y gastos'!$D$10:$D$13,'Facturas y gastos'!$A$10:$A$13,A123)=0,"",J123*SUMIFS('Facturas y gastos'!$I$10:$I$13,'Facturas y gastos'!$A$10:$A$13,A123)/SUMIFS('Facturas y gastos'!$D$10:$D$13,'Facturas y gastos'!$A$10:$A$13,A123)))</f>
        <v>62.642480004320987</v>
      </c>
      <c r="N123" s="8">
        <f>IF(J123="","",IF(SUMIFS('Facturas y gastos'!$D$10:$D$13,'Facturas y gastos'!$A$10:$A$13,A123)=0,"",J123*SUMIFS('Facturas y gastos'!$J$10:$J$13,'Facturas y gastos'!$A$10:$A$13,A123)/SUMIFS('Facturas y gastos'!$D$10:$D$13,'Facturas y gastos'!$A$10:$A$13,A123)))</f>
        <v>0</v>
      </c>
      <c r="O123" s="8">
        <f t="shared" si="2"/>
        <v>428.01663877129613</v>
      </c>
      <c r="P123" s="8" t="str">
        <f>IF(OR(O123="",'Facturas y gastos'!$B$24="",'Facturas y gastos'!$B$45&lt;&gt;"OK",SUM($O$8:$O$657)=0),"",O123*'Facturas y gastos'!$B$43/SUM($O$8:$O$657))</f>
        <v/>
      </c>
      <c r="Q123" s="8" t="str">
        <f>IF(OR(O123="",'Facturas y gastos'!$B$5="",P123=""),"",O123*'Facturas y gastos'!$B$5+P123)</f>
        <v/>
      </c>
      <c r="R123" s="8" t="str">
        <f t="shared" si="3"/>
        <v/>
      </c>
    </row>
    <row r="124" spans="1:18">
      <c r="A124" s="25" t="s">
        <v>58</v>
      </c>
      <c r="B124" s="25">
        <v>117</v>
      </c>
      <c r="C124" s="25" t="s">
        <v>255</v>
      </c>
      <c r="D124" s="25" t="s">
        <v>253</v>
      </c>
      <c r="E124" s="25" t="s">
        <v>108</v>
      </c>
      <c r="F124" s="27">
        <v>120</v>
      </c>
      <c r="G124" s="27">
        <v>5</v>
      </c>
      <c r="H124" s="29">
        <v>3.73</v>
      </c>
      <c r="I124" s="29">
        <v>447.76</v>
      </c>
      <c r="J124" s="8">
        <f>IF(OR(A124="",I124=""),"",IF(SUMIFS($I$8:$I$657,$A$8:$A$657,A124)=0,"",I124*SUMIFS('Facturas y gastos'!$D$10:$D$13,'Facturas y gastos'!$A$10:$A$13,A124)/SUMIFS($I$8:$I$657,$A$8:$A$657,A124)))</f>
        <v>447.75999999999988</v>
      </c>
      <c r="K124" s="8">
        <f>IF(J124="","",IF(SUMIFS('Facturas y gastos'!$D$10:$D$13,'Facturas y gastos'!$A$10:$A$13,A124)=0,"",J124*SUMIFS('Facturas y gastos'!$G$10:$G$13,'Facturas y gastos'!$A$10:$A$13,A124)/SUMIFS('Facturas y gastos'!$D$10:$D$13,'Facturas y gastos'!$A$10:$A$13,A124)))</f>
        <v>4.4776237881507273</v>
      </c>
      <c r="L124" s="8">
        <f>IF(J124="","",IF(SUMIFS('Facturas y gastos'!$D$10:$D$13,'Facturas y gastos'!$A$10:$A$13,A124)=0,"",J124*SUMIFS('Facturas y gastos'!$H$10:$H$13,'Facturas y gastos'!$A$10:$A$13,A124)/SUMIFS('Facturas y gastos'!$D$10:$D$13,'Facturas y gastos'!$A$10:$A$13,A124)))</f>
        <v>13.43277224715748</v>
      </c>
      <c r="M124" s="8">
        <f>IF(J124="","",IF(SUMIFS('Facturas y gastos'!$D$10:$D$13,'Facturas y gastos'!$A$10:$A$13,A124)=0,"",J124*SUMIFS('Facturas y gastos'!$I$10:$I$13,'Facturas y gastos'!$A$10:$A$13,A124)/SUMIFS('Facturas y gastos'!$D$10:$D$13,'Facturas y gastos'!$A$10:$A$13,A124)))</f>
        <v>78.302662814368006</v>
      </c>
      <c r="N124" s="8">
        <f>IF(J124="","",IF(SUMIFS('Facturas y gastos'!$D$10:$D$13,'Facturas y gastos'!$A$10:$A$13,A124)=0,"",J124*SUMIFS('Facturas y gastos'!$J$10:$J$13,'Facturas y gastos'!$A$10:$A$13,A124)/SUMIFS('Facturas y gastos'!$D$10:$D$13,'Facturas y gastos'!$A$10:$A$13,A124)))</f>
        <v>0</v>
      </c>
      <c r="O124" s="8">
        <f t="shared" si="2"/>
        <v>535.0178112733746</v>
      </c>
      <c r="P124" s="8" t="str">
        <f>IF(OR(O124="",'Facturas y gastos'!$B$24="",'Facturas y gastos'!$B$45&lt;&gt;"OK",SUM($O$8:$O$657)=0),"",O124*'Facturas y gastos'!$B$43/SUM($O$8:$O$657))</f>
        <v/>
      </c>
      <c r="Q124" s="8" t="str">
        <f>IF(OR(O124="",'Facturas y gastos'!$B$5="",P124=""),"",O124*'Facturas y gastos'!$B$5+P124)</f>
        <v/>
      </c>
      <c r="R124" s="8" t="str">
        <f t="shared" si="3"/>
        <v/>
      </c>
    </row>
    <row r="125" spans="1:18">
      <c r="A125" s="25" t="s">
        <v>58</v>
      </c>
      <c r="B125" s="25">
        <v>118</v>
      </c>
      <c r="C125" s="25" t="s">
        <v>256</v>
      </c>
      <c r="D125" s="25" t="s">
        <v>253</v>
      </c>
      <c r="E125" s="25" t="s">
        <v>108</v>
      </c>
      <c r="F125" s="27">
        <v>120</v>
      </c>
      <c r="G125" s="27">
        <v>5</v>
      </c>
      <c r="H125" s="29">
        <v>3.73</v>
      </c>
      <c r="I125" s="29">
        <v>447.76</v>
      </c>
      <c r="J125" s="8">
        <f>IF(OR(A125="",I125=""),"",IF(SUMIFS($I$8:$I$657,$A$8:$A$657,A125)=0,"",I125*SUMIFS('Facturas y gastos'!$D$10:$D$13,'Facturas y gastos'!$A$10:$A$13,A125)/SUMIFS($I$8:$I$657,$A$8:$A$657,A125)))</f>
        <v>447.75999999999988</v>
      </c>
      <c r="K125" s="8">
        <f>IF(J125="","",IF(SUMIFS('Facturas y gastos'!$D$10:$D$13,'Facturas y gastos'!$A$10:$A$13,A125)=0,"",J125*SUMIFS('Facturas y gastos'!$G$10:$G$13,'Facturas y gastos'!$A$10:$A$13,A125)/SUMIFS('Facturas y gastos'!$D$10:$D$13,'Facturas y gastos'!$A$10:$A$13,A125)))</f>
        <v>4.4776237881507273</v>
      </c>
      <c r="L125" s="8">
        <f>IF(J125="","",IF(SUMIFS('Facturas y gastos'!$D$10:$D$13,'Facturas y gastos'!$A$10:$A$13,A125)=0,"",J125*SUMIFS('Facturas y gastos'!$H$10:$H$13,'Facturas y gastos'!$A$10:$A$13,A125)/SUMIFS('Facturas y gastos'!$D$10:$D$13,'Facturas y gastos'!$A$10:$A$13,A125)))</f>
        <v>13.43277224715748</v>
      </c>
      <c r="M125" s="8">
        <f>IF(J125="","",IF(SUMIFS('Facturas y gastos'!$D$10:$D$13,'Facturas y gastos'!$A$10:$A$13,A125)=0,"",J125*SUMIFS('Facturas y gastos'!$I$10:$I$13,'Facturas y gastos'!$A$10:$A$13,A125)/SUMIFS('Facturas y gastos'!$D$10:$D$13,'Facturas y gastos'!$A$10:$A$13,A125)))</f>
        <v>78.302662814368006</v>
      </c>
      <c r="N125" s="8">
        <f>IF(J125="","",IF(SUMIFS('Facturas y gastos'!$D$10:$D$13,'Facturas y gastos'!$A$10:$A$13,A125)=0,"",J125*SUMIFS('Facturas y gastos'!$J$10:$J$13,'Facturas y gastos'!$A$10:$A$13,A125)/SUMIFS('Facturas y gastos'!$D$10:$D$13,'Facturas y gastos'!$A$10:$A$13,A125)))</f>
        <v>0</v>
      </c>
      <c r="O125" s="8">
        <f t="shared" si="2"/>
        <v>535.0178112733746</v>
      </c>
      <c r="P125" s="8" t="str">
        <f>IF(OR(O125="",'Facturas y gastos'!$B$24="",'Facturas y gastos'!$B$45&lt;&gt;"OK",SUM($O$8:$O$657)=0),"",O125*'Facturas y gastos'!$B$43/SUM($O$8:$O$657))</f>
        <v/>
      </c>
      <c r="Q125" s="8" t="str">
        <f>IF(OR(O125="",'Facturas y gastos'!$B$5="",P125=""),"",O125*'Facturas y gastos'!$B$5+P125)</f>
        <v/>
      </c>
      <c r="R125" s="8" t="str">
        <f t="shared" si="3"/>
        <v/>
      </c>
    </row>
    <row r="126" spans="1:18">
      <c r="A126" s="25" t="s">
        <v>58</v>
      </c>
      <c r="B126" s="25">
        <v>119</v>
      </c>
      <c r="C126" s="25" t="s">
        <v>257</v>
      </c>
      <c r="D126" s="25" t="s">
        <v>253</v>
      </c>
      <c r="E126" s="25" t="s">
        <v>108</v>
      </c>
      <c r="F126" s="27">
        <v>120</v>
      </c>
      <c r="G126" s="27">
        <v>5</v>
      </c>
      <c r="H126" s="29">
        <v>3.73</v>
      </c>
      <c r="I126" s="29">
        <v>447.76</v>
      </c>
      <c r="J126" s="8">
        <f>IF(OR(A126="",I126=""),"",IF(SUMIFS($I$8:$I$657,$A$8:$A$657,A126)=0,"",I126*SUMIFS('Facturas y gastos'!$D$10:$D$13,'Facturas y gastos'!$A$10:$A$13,A126)/SUMIFS($I$8:$I$657,$A$8:$A$657,A126)))</f>
        <v>447.75999999999988</v>
      </c>
      <c r="K126" s="8">
        <f>IF(J126="","",IF(SUMIFS('Facturas y gastos'!$D$10:$D$13,'Facturas y gastos'!$A$10:$A$13,A126)=0,"",J126*SUMIFS('Facturas y gastos'!$G$10:$G$13,'Facturas y gastos'!$A$10:$A$13,A126)/SUMIFS('Facturas y gastos'!$D$10:$D$13,'Facturas y gastos'!$A$10:$A$13,A126)))</f>
        <v>4.4776237881507273</v>
      </c>
      <c r="L126" s="8">
        <f>IF(J126="","",IF(SUMIFS('Facturas y gastos'!$D$10:$D$13,'Facturas y gastos'!$A$10:$A$13,A126)=0,"",J126*SUMIFS('Facturas y gastos'!$H$10:$H$13,'Facturas y gastos'!$A$10:$A$13,A126)/SUMIFS('Facturas y gastos'!$D$10:$D$13,'Facturas y gastos'!$A$10:$A$13,A126)))</f>
        <v>13.43277224715748</v>
      </c>
      <c r="M126" s="8">
        <f>IF(J126="","",IF(SUMIFS('Facturas y gastos'!$D$10:$D$13,'Facturas y gastos'!$A$10:$A$13,A126)=0,"",J126*SUMIFS('Facturas y gastos'!$I$10:$I$13,'Facturas y gastos'!$A$10:$A$13,A126)/SUMIFS('Facturas y gastos'!$D$10:$D$13,'Facturas y gastos'!$A$10:$A$13,A126)))</f>
        <v>78.302662814368006</v>
      </c>
      <c r="N126" s="8">
        <f>IF(J126="","",IF(SUMIFS('Facturas y gastos'!$D$10:$D$13,'Facturas y gastos'!$A$10:$A$13,A126)=0,"",J126*SUMIFS('Facturas y gastos'!$J$10:$J$13,'Facturas y gastos'!$A$10:$A$13,A126)/SUMIFS('Facturas y gastos'!$D$10:$D$13,'Facturas y gastos'!$A$10:$A$13,A126)))</f>
        <v>0</v>
      </c>
      <c r="O126" s="8">
        <f t="shared" si="2"/>
        <v>535.0178112733746</v>
      </c>
      <c r="P126" s="8" t="str">
        <f>IF(OR(O126="",'Facturas y gastos'!$B$24="",'Facturas y gastos'!$B$45&lt;&gt;"OK",SUM($O$8:$O$657)=0),"",O126*'Facturas y gastos'!$B$43/SUM($O$8:$O$657))</f>
        <v/>
      </c>
      <c r="Q126" s="8" t="str">
        <f>IF(OR(O126="",'Facturas y gastos'!$B$5="",P126=""),"",O126*'Facturas y gastos'!$B$5+P126)</f>
        <v/>
      </c>
      <c r="R126" s="8" t="str">
        <f t="shared" si="3"/>
        <v/>
      </c>
    </row>
    <row r="127" spans="1:18">
      <c r="A127" s="25" t="s">
        <v>60</v>
      </c>
      <c r="B127" s="25">
        <v>1</v>
      </c>
      <c r="C127" s="25" t="s">
        <v>258</v>
      </c>
      <c r="D127" s="25" t="s">
        <v>259</v>
      </c>
      <c r="E127" s="25" t="s">
        <v>108</v>
      </c>
      <c r="F127" s="27">
        <v>40</v>
      </c>
      <c r="G127" s="27">
        <v>5</v>
      </c>
      <c r="H127" s="29">
        <v>11.19</v>
      </c>
      <c r="I127" s="29">
        <v>447.76</v>
      </c>
      <c r="J127" s="8">
        <f>IF(OR(A127="",I127=""),"",IF(SUMIFS($I$8:$I$657,$A$8:$A$657,A127)=0,"",I127*SUMIFS('Facturas y gastos'!$D$10:$D$13,'Facturas y gastos'!$A$10:$A$13,A127)/SUMIFS($I$8:$I$657,$A$8:$A$657,A127)))</f>
        <v>447.75908261904095</v>
      </c>
      <c r="K127" s="8">
        <f>IF(J127="","",IF(SUMIFS('Facturas y gastos'!$D$10:$D$13,'Facturas y gastos'!$A$10:$A$13,A127)=0,"",J127*SUMIFS('Facturas y gastos'!$G$10:$G$13,'Facturas y gastos'!$A$10:$A$13,A127)/SUMIFS('Facturas y gastos'!$D$10:$D$13,'Facturas y gastos'!$A$10:$A$13,A127)))</f>
        <v>4.4776217877977729</v>
      </c>
      <c r="L127" s="8">
        <f>IF(J127="","",IF(SUMIFS('Facturas y gastos'!$D$10:$D$13,'Facturas y gastos'!$A$10:$A$13,A127)=0,"",J127*SUMIFS('Facturas y gastos'!$H$10:$H$13,'Facturas y gastos'!$A$10:$A$13,A127)/SUMIFS('Facturas y gastos'!$D$10:$D$13,'Facturas y gastos'!$A$10:$A$13,A127)))</f>
        <v>13.432750690773455</v>
      </c>
      <c r="M127" s="8">
        <f>IF(J127="","",IF(SUMIFS('Facturas y gastos'!$D$10:$D$13,'Facturas y gastos'!$A$10:$A$13,A127)=0,"",J127*SUMIFS('Facturas y gastos'!$I$10:$I$13,'Facturas y gastos'!$A$10:$A$13,A127)/SUMIFS('Facturas y gastos'!$D$10:$D$13,'Facturas y gastos'!$A$10:$A$13,A127)))</f>
        <v>90.591369691915901</v>
      </c>
      <c r="N127" s="8">
        <f>IF(J127="","",IF(SUMIFS('Facturas y gastos'!$D$10:$D$13,'Facturas y gastos'!$A$10:$A$13,A127)=0,"",J127*SUMIFS('Facturas y gastos'!$J$10:$J$13,'Facturas y gastos'!$A$10:$A$13,A127)/SUMIFS('Facturas y gastos'!$D$10:$D$13,'Facturas y gastos'!$A$10:$A$13,A127)))</f>
        <v>0</v>
      </c>
      <c r="O127" s="8">
        <f t="shared" si="2"/>
        <v>547.30558121393256</v>
      </c>
      <c r="P127" s="8" t="str">
        <f>IF(OR(O127="",'Facturas y gastos'!$B$24="",'Facturas y gastos'!$B$45&lt;&gt;"OK",SUM($O$8:$O$657)=0),"",O127*'Facturas y gastos'!$B$43/SUM($O$8:$O$657))</f>
        <v/>
      </c>
      <c r="Q127" s="8" t="str">
        <f>IF(OR(O127="",'Facturas y gastos'!$B$5="",P127=""),"",O127*'Facturas y gastos'!$B$5+P127)</f>
        <v/>
      </c>
      <c r="R127" s="8" t="str">
        <f t="shared" si="3"/>
        <v/>
      </c>
    </row>
    <row r="128" spans="1:18">
      <c r="A128" s="25" t="s">
        <v>60</v>
      </c>
      <c r="B128" s="25">
        <v>2</v>
      </c>
      <c r="C128" s="25" t="s">
        <v>260</v>
      </c>
      <c r="D128" s="25" t="s">
        <v>259</v>
      </c>
      <c r="E128" s="25" t="s">
        <v>108</v>
      </c>
      <c r="F128" s="27">
        <v>40</v>
      </c>
      <c r="G128" s="27">
        <v>5</v>
      </c>
      <c r="H128" s="29">
        <v>10.6</v>
      </c>
      <c r="I128" s="29">
        <v>423.88</v>
      </c>
      <c r="J128" s="8">
        <f>IF(OR(A128="",I128=""),"",IF(SUMIFS($I$8:$I$657,$A$8:$A$657,A128)=0,"",I128*SUMIFS('Facturas y gastos'!$D$10:$D$13,'Facturas y gastos'!$A$10:$A$13,A128)/SUMIFS($I$8:$I$657,$A$8:$A$657,A128)))</f>
        <v>423.87913154493276</v>
      </c>
      <c r="K128" s="8">
        <f>IF(J128="","",IF(SUMIFS('Facturas y gastos'!$D$10:$D$13,'Facturas y gastos'!$A$10:$A$13,A128)=0,"",J128*SUMIFS('Facturas y gastos'!$G$10:$G$13,'Facturas y gastos'!$A$10:$A$13,A128)/SUMIFS('Facturas y gastos'!$D$10:$D$13,'Facturas y gastos'!$A$10:$A$13,A128)))</f>
        <v>4.2388206258078434</v>
      </c>
      <c r="L128" s="8">
        <f>IF(J128="","",IF(SUMIFS('Facturas y gastos'!$D$10:$D$13,'Facturas y gastos'!$A$10:$A$13,A128)=0,"",J128*SUMIFS('Facturas y gastos'!$H$10:$H$13,'Facturas y gastos'!$A$10:$A$13,A128)/SUMIFS('Facturas y gastos'!$D$10:$D$13,'Facturas y gastos'!$A$10:$A$13,A128)))</f>
        <v>12.716353320540138</v>
      </c>
      <c r="M128" s="8">
        <f>IF(J128="","",IF(SUMIFS('Facturas y gastos'!$D$10:$D$13,'Facturas y gastos'!$A$10:$A$13,A128)=0,"",J128*SUMIFS('Facturas y gastos'!$I$10:$I$13,'Facturas y gastos'!$A$10:$A$13,A128)/SUMIFS('Facturas y gastos'!$D$10:$D$13,'Facturas y gastos'!$A$10:$A$13,A128)))</f>
        <v>85.759937879688479</v>
      </c>
      <c r="N128" s="8">
        <f>IF(J128="","",IF(SUMIFS('Facturas y gastos'!$D$10:$D$13,'Facturas y gastos'!$A$10:$A$13,A128)=0,"",J128*SUMIFS('Facturas y gastos'!$J$10:$J$13,'Facturas y gastos'!$A$10:$A$13,A128)/SUMIFS('Facturas y gastos'!$D$10:$D$13,'Facturas y gastos'!$A$10:$A$13,A128)))</f>
        <v>0</v>
      </c>
      <c r="O128" s="8">
        <f t="shared" si="2"/>
        <v>518.1166021193535</v>
      </c>
      <c r="P128" s="8" t="str">
        <f>IF(OR(O128="",'Facturas y gastos'!$B$24="",'Facturas y gastos'!$B$45&lt;&gt;"OK",SUM($O$8:$O$657)=0),"",O128*'Facturas y gastos'!$B$43/SUM($O$8:$O$657))</f>
        <v/>
      </c>
      <c r="Q128" s="8" t="str">
        <f>IF(OR(O128="",'Facturas y gastos'!$B$5="",P128=""),"",O128*'Facturas y gastos'!$B$5+P128)</f>
        <v/>
      </c>
      <c r="R128" s="8" t="str">
        <f t="shared" si="3"/>
        <v/>
      </c>
    </row>
    <row r="129" spans="1:18">
      <c r="A129" s="25" t="s">
        <v>60</v>
      </c>
      <c r="B129" s="25">
        <v>3</v>
      </c>
      <c r="C129" s="25" t="s">
        <v>261</v>
      </c>
      <c r="D129" s="25" t="s">
        <v>259</v>
      </c>
      <c r="E129" s="25" t="s">
        <v>108</v>
      </c>
      <c r="F129" s="27">
        <v>20</v>
      </c>
      <c r="G129" s="27">
        <v>5</v>
      </c>
      <c r="H129" s="29">
        <v>20.149999999999999</v>
      </c>
      <c r="I129" s="29">
        <v>402.99</v>
      </c>
      <c r="J129" s="8">
        <f>IF(OR(A129="",I129=""),"",IF(SUMIFS($I$8:$I$657,$A$8:$A$657,A129)=0,"",I129*SUMIFS('Facturas y gastos'!$D$10:$D$13,'Facturas y gastos'!$A$10:$A$13,A129)/SUMIFS($I$8:$I$657,$A$8:$A$657,A129)))</f>
        <v>402.98917434484395</v>
      </c>
      <c r="K129" s="8">
        <f>IF(J129="","",IF(SUMIFS('Facturas y gastos'!$D$10:$D$13,'Facturas y gastos'!$A$10:$A$13,A129)=0,"",J129*SUMIFS('Facturas y gastos'!$G$10:$G$13,'Facturas y gastos'!$A$10:$A$13,A129)/SUMIFS('Facturas y gastos'!$D$10:$D$13,'Facturas y gastos'!$A$10:$A$13,A129)))</f>
        <v>4.0299196093099532</v>
      </c>
      <c r="L129" s="8">
        <f>IF(J129="","",IF(SUMIFS('Facturas y gastos'!$D$10:$D$13,'Facturas y gastos'!$A$10:$A$13,A129)=0,"",J129*SUMIFS('Facturas y gastos'!$H$10:$H$13,'Facturas y gastos'!$A$10:$A$13,A129)/SUMIFS('Facturas y gastos'!$D$10:$D$13,'Facturas y gastos'!$A$10:$A$13,A129)))</f>
        <v>12.089655621035364</v>
      </c>
      <c r="M129" s="8">
        <f>IF(J129="","",IF(SUMIFS('Facturas y gastos'!$D$10:$D$13,'Facturas y gastos'!$A$10:$A$13,A129)=0,"",J129*SUMIFS('Facturas y gastos'!$I$10:$I$13,'Facturas y gastos'!$A$10:$A$13,A129)/SUMIFS('Facturas y gastos'!$D$10:$D$13,'Facturas y gastos'!$A$10:$A$13,A129)))</f>
        <v>81.533446650315327</v>
      </c>
      <c r="N129" s="8">
        <f>IF(J129="","",IF(SUMIFS('Facturas y gastos'!$D$10:$D$13,'Facturas y gastos'!$A$10:$A$13,A129)=0,"",J129*SUMIFS('Facturas y gastos'!$J$10:$J$13,'Facturas y gastos'!$A$10:$A$13,A129)/SUMIFS('Facturas y gastos'!$D$10:$D$13,'Facturas y gastos'!$A$10:$A$13,A129)))</f>
        <v>0</v>
      </c>
      <c r="O129" s="8">
        <f t="shared" si="2"/>
        <v>492.58235700688471</v>
      </c>
      <c r="P129" s="8" t="str">
        <f>IF(OR(O129="",'Facturas y gastos'!$B$24="",'Facturas y gastos'!$B$45&lt;&gt;"OK",SUM($O$8:$O$657)=0),"",O129*'Facturas y gastos'!$B$43/SUM($O$8:$O$657))</f>
        <v/>
      </c>
      <c r="Q129" s="8" t="str">
        <f>IF(OR(O129="",'Facturas y gastos'!$B$5="",P129=""),"",O129*'Facturas y gastos'!$B$5+P129)</f>
        <v/>
      </c>
      <c r="R129" s="8" t="str">
        <f t="shared" si="3"/>
        <v/>
      </c>
    </row>
    <row r="130" spans="1:18">
      <c r="A130" s="25" t="s">
        <v>60</v>
      </c>
      <c r="B130" s="25">
        <v>4</v>
      </c>
      <c r="C130" s="25" t="s">
        <v>262</v>
      </c>
      <c r="D130" s="25" t="s">
        <v>263</v>
      </c>
      <c r="E130" s="25" t="s">
        <v>108</v>
      </c>
      <c r="F130" s="27">
        <v>144</v>
      </c>
      <c r="G130" s="27">
        <v>1</v>
      </c>
      <c r="H130" s="29">
        <v>2.21</v>
      </c>
      <c r="I130" s="29">
        <v>318.08999999999997</v>
      </c>
      <c r="J130" s="8">
        <f>IF(OR(A130="",I130=""),"",IF(SUMIFS($I$8:$I$657,$A$8:$A$657,A130)=0,"",I130*SUMIFS('Facturas y gastos'!$D$10:$D$13,'Facturas y gastos'!$A$10:$A$13,A130)/SUMIFS($I$8:$I$657,$A$8:$A$657,A130)))</f>
        <v>318.08934828991141</v>
      </c>
      <c r="K130" s="8">
        <f>IF(J130="","",IF(SUMIFS('Facturas y gastos'!$D$10:$D$13,'Facturas y gastos'!$A$10:$A$13,A130)=0,"",J130*SUMIFS('Facturas y gastos'!$G$10:$G$13,'Facturas y gastos'!$A$10:$A$13,A130)/SUMIFS('Facturas y gastos'!$D$10:$D$13,'Facturas y gastos'!$A$10:$A$13,A130)))</f>
        <v>3.1809154781146005</v>
      </c>
      <c r="L130" s="8">
        <f>IF(J130="","",IF(SUMIFS('Facturas y gastos'!$D$10:$D$13,'Facturas y gastos'!$A$10:$A$13,A130)=0,"",J130*SUMIFS('Facturas y gastos'!$H$10:$H$13,'Facturas y gastos'!$A$10:$A$13,A130)/SUMIFS('Facturas y gastos'!$D$10:$D$13,'Facturas y gastos'!$A$10:$A$13,A130)))</f>
        <v>9.5426649705827415</v>
      </c>
      <c r="M130" s="8">
        <f>IF(J130="","",IF(SUMIFS('Facturas y gastos'!$D$10:$D$13,'Facturas y gastos'!$A$10:$A$13,A130)=0,"",J130*SUMIFS('Facturas y gastos'!$I$10:$I$13,'Facturas y gastos'!$A$10:$A$13,A130)/SUMIFS('Facturas y gastos'!$D$10:$D$13,'Facturas y gastos'!$A$10:$A$13,A130)))</f>
        <v>64.356371237496717</v>
      </c>
      <c r="N130" s="8">
        <f>IF(J130="","",IF(SUMIFS('Facturas y gastos'!$D$10:$D$13,'Facturas y gastos'!$A$10:$A$13,A130)=0,"",J130*SUMIFS('Facturas y gastos'!$J$10:$J$13,'Facturas y gastos'!$A$10:$A$13,A130)/SUMIFS('Facturas y gastos'!$D$10:$D$13,'Facturas y gastos'!$A$10:$A$13,A130)))</f>
        <v>0</v>
      </c>
      <c r="O130" s="8">
        <f t="shared" si="2"/>
        <v>388.80746901987624</v>
      </c>
      <c r="P130" s="8" t="str">
        <f>IF(OR(O130="",'Facturas y gastos'!$B$24="",'Facturas y gastos'!$B$45&lt;&gt;"OK",SUM($O$8:$O$657)=0),"",O130*'Facturas y gastos'!$B$43/SUM($O$8:$O$657))</f>
        <v/>
      </c>
      <c r="Q130" s="8" t="str">
        <f>IF(OR(O130="",'Facturas y gastos'!$B$5="",P130=""),"",O130*'Facturas y gastos'!$B$5+P130)</f>
        <v/>
      </c>
      <c r="R130" s="8" t="str">
        <f t="shared" si="3"/>
        <v/>
      </c>
    </row>
    <row r="131" spans="1:18">
      <c r="A131" s="25" t="s">
        <v>60</v>
      </c>
      <c r="B131" s="25">
        <v>5</v>
      </c>
      <c r="C131" s="25" t="s">
        <v>264</v>
      </c>
      <c r="D131" s="25" t="s">
        <v>263</v>
      </c>
      <c r="E131" s="25" t="s">
        <v>108</v>
      </c>
      <c r="F131" s="27">
        <v>108</v>
      </c>
      <c r="G131" s="27">
        <v>1</v>
      </c>
      <c r="H131" s="29">
        <v>2.21</v>
      </c>
      <c r="I131" s="29">
        <v>238.57</v>
      </c>
      <c r="J131" s="8">
        <f>IF(OR(A131="",I131=""),"",IF(SUMIFS($I$8:$I$657,$A$8:$A$657,A131)=0,"",I131*SUMIFS('Facturas y gastos'!$D$10:$D$13,'Facturas y gastos'!$A$10:$A$13,A131)/SUMIFS($I$8:$I$657,$A$8:$A$657,A131)))</f>
        <v>238.56951121231151</v>
      </c>
      <c r="K131" s="8">
        <f>IF(J131="","",IF(SUMIFS('Facturas y gastos'!$D$10:$D$13,'Facturas y gastos'!$A$10:$A$13,A131)=0,"",J131*SUMIFS('Facturas y gastos'!$G$10:$G$13,'Facturas y gastos'!$A$10:$A$13,A131)/SUMIFS('Facturas y gastos'!$D$10:$D$13,'Facturas y gastos'!$A$10:$A$13,A131)))</f>
        <v>2.3857116087075991</v>
      </c>
      <c r="L131" s="8">
        <f>IF(J131="","",IF(SUMIFS('Facturas y gastos'!$D$10:$D$13,'Facturas y gastos'!$A$10:$A$13,A131)=0,"",J131*SUMIFS('Facturas y gastos'!$H$10:$H$13,'Facturas y gastos'!$A$10:$A$13,A131)/SUMIFS('Facturas y gastos'!$D$10:$D$13,'Facturas y gastos'!$A$10:$A$13,A131)))</f>
        <v>7.1570737276617455</v>
      </c>
      <c r="M131" s="8">
        <f>IF(J131="","",IF(SUMIFS('Facturas y gastos'!$D$10:$D$13,'Facturas y gastos'!$A$10:$A$13,A131)=0,"",J131*SUMIFS('Facturas y gastos'!$I$10:$I$13,'Facturas y gastos'!$A$10:$A$13,A131)/SUMIFS('Facturas y gastos'!$D$10:$D$13,'Facturas y gastos'!$A$10:$A$13,A131)))</f>
        <v>48.267784231285461</v>
      </c>
      <c r="N131" s="8">
        <f>IF(J131="","",IF(SUMIFS('Facturas y gastos'!$D$10:$D$13,'Facturas y gastos'!$A$10:$A$13,A131)=0,"",J131*SUMIFS('Facturas y gastos'!$J$10:$J$13,'Facturas y gastos'!$A$10:$A$13,A131)/SUMIFS('Facturas y gastos'!$D$10:$D$13,'Facturas y gastos'!$A$10:$A$13,A131)))</f>
        <v>0</v>
      </c>
      <c r="O131" s="8">
        <f t="shared" si="2"/>
        <v>291.60865756255112</v>
      </c>
      <c r="P131" s="8" t="str">
        <f>IF(OR(O131="",'Facturas y gastos'!$B$24="",'Facturas y gastos'!$B$45&lt;&gt;"OK",SUM($O$8:$O$657)=0),"",O131*'Facturas y gastos'!$B$43/SUM($O$8:$O$657))</f>
        <v/>
      </c>
      <c r="Q131" s="8" t="str">
        <f>IF(OR(O131="",'Facturas y gastos'!$B$5="",P131=""),"",O131*'Facturas y gastos'!$B$5+P131)</f>
        <v/>
      </c>
      <c r="R131" s="8" t="str">
        <f t="shared" si="3"/>
        <v/>
      </c>
    </row>
    <row r="132" spans="1:18">
      <c r="A132" s="25" t="s">
        <v>60</v>
      </c>
      <c r="B132" s="25">
        <v>6</v>
      </c>
      <c r="C132" s="25" t="s">
        <v>265</v>
      </c>
      <c r="D132" s="25" t="s">
        <v>263</v>
      </c>
      <c r="E132" s="25" t="s">
        <v>108</v>
      </c>
      <c r="F132" s="27">
        <v>240</v>
      </c>
      <c r="G132" s="27">
        <v>1</v>
      </c>
      <c r="H132" s="29">
        <v>1.57</v>
      </c>
      <c r="I132" s="29">
        <v>376.12</v>
      </c>
      <c r="J132" s="8">
        <f>IF(OR(A132="",I132=""),"",IF(SUMIFS($I$8:$I$657,$A$8:$A$657,A132)=0,"",I132*SUMIFS('Facturas y gastos'!$D$10:$D$13,'Facturas y gastos'!$A$10:$A$13,A132)/SUMIFS($I$8:$I$657,$A$8:$A$657,A132)))</f>
        <v>376.11922939671632</v>
      </c>
      <c r="K132" s="8">
        <f>IF(J132="","",IF(SUMIFS('Facturas y gastos'!$D$10:$D$13,'Facturas y gastos'!$A$10:$A$13,A132)=0,"",J132*SUMIFS('Facturas y gastos'!$G$10:$G$13,'Facturas y gastos'!$A$10:$A$13,A132)/SUMIFS('Facturas y gastos'!$D$10:$D$13,'Facturas y gastos'!$A$10:$A$13,A132)))</f>
        <v>3.7612183018279848</v>
      </c>
      <c r="L132" s="8">
        <f>IF(J132="","",IF(SUMIFS('Facturas y gastos'!$D$10:$D$13,'Facturas y gastos'!$A$10:$A$13,A132)=0,"",J132*SUMIFS('Facturas y gastos'!$H$10:$H$13,'Facturas y gastos'!$A$10:$A$13,A132)/SUMIFS('Facturas y gastos'!$D$10:$D$13,'Facturas y gastos'!$A$10:$A$13,A132)))</f>
        <v>11.283558580073503</v>
      </c>
      <c r="M132" s="8">
        <f>IF(J132="","",IF(SUMIFS('Facturas y gastos'!$D$10:$D$13,'Facturas y gastos'!$A$10:$A$13,A132)=0,"",J132*SUMIFS('Facturas y gastos'!$I$10:$I$13,'Facturas y gastos'!$A$10:$A$13,A132)/SUMIFS('Facturas y gastos'!$D$10:$D$13,'Facturas y gastos'!$A$10:$A$13,A132)))</f>
        <v>76.097074255233636</v>
      </c>
      <c r="N132" s="8">
        <f>IF(J132="","",IF(SUMIFS('Facturas y gastos'!$D$10:$D$13,'Facturas y gastos'!$A$10:$A$13,A132)=0,"",J132*SUMIFS('Facturas y gastos'!$J$10:$J$13,'Facturas y gastos'!$A$10:$A$13,A132)/SUMIFS('Facturas y gastos'!$D$10:$D$13,'Facturas y gastos'!$A$10:$A$13,A132)))</f>
        <v>0</v>
      </c>
      <c r="O132" s="8">
        <f t="shared" si="2"/>
        <v>459.73864393019545</v>
      </c>
      <c r="P132" s="8" t="str">
        <f>IF(OR(O132="",'Facturas y gastos'!$B$24="",'Facturas y gastos'!$B$45&lt;&gt;"OK",SUM($O$8:$O$657)=0),"",O132*'Facturas y gastos'!$B$43/SUM($O$8:$O$657))</f>
        <v/>
      </c>
      <c r="Q132" s="8" t="str">
        <f>IF(OR(O132="",'Facturas y gastos'!$B$5="",P132=""),"",O132*'Facturas y gastos'!$B$5+P132)</f>
        <v/>
      </c>
      <c r="R132" s="8" t="str">
        <f t="shared" si="3"/>
        <v/>
      </c>
    </row>
    <row r="133" spans="1:18">
      <c r="A133" s="25" t="s">
        <v>60</v>
      </c>
      <c r="B133" s="25">
        <v>7</v>
      </c>
      <c r="C133" s="25" t="s">
        <v>266</v>
      </c>
      <c r="D133" s="25" t="s">
        <v>263</v>
      </c>
      <c r="E133" s="25" t="s">
        <v>108</v>
      </c>
      <c r="F133" s="27">
        <v>240</v>
      </c>
      <c r="G133" s="27">
        <v>1</v>
      </c>
      <c r="H133" s="29">
        <v>1.1599999999999999</v>
      </c>
      <c r="I133" s="29">
        <v>279.39999999999998</v>
      </c>
      <c r="J133" s="8">
        <f>IF(OR(A133="",I133=""),"",IF(SUMIFS($I$8:$I$657,$A$8:$A$657,A133)=0,"",I133*SUMIFS('Facturas y gastos'!$D$10:$D$13,'Facturas y gastos'!$A$10:$A$13,A133)/SUMIFS($I$8:$I$657,$A$8:$A$657,A133)))</f>
        <v>279.39942755887091</v>
      </c>
      <c r="K133" s="8">
        <f>IF(J133="","",IF(SUMIFS('Facturas y gastos'!$D$10:$D$13,'Facturas y gastos'!$A$10:$A$13,A133)=0,"",J133*SUMIFS('Facturas y gastos'!$G$10:$G$13,'Facturas y gastos'!$A$10:$A$13,A133)/SUMIFS('Facturas y gastos'!$D$10:$D$13,'Facturas y gastos'!$A$10:$A$13,A133)))</f>
        <v>2.7940135954768124</v>
      </c>
      <c r="L133" s="8">
        <f>IF(J133="","",IF(SUMIFS('Facturas y gastos'!$D$10:$D$13,'Facturas y gastos'!$A$10:$A$13,A133)=0,"",J133*SUMIFS('Facturas y gastos'!$H$10:$H$13,'Facturas y gastos'!$A$10:$A$13,A133)/SUMIFS('Facturas y gastos'!$D$10:$D$13,'Facturas y gastos'!$A$10:$A$13,A133)))</f>
        <v>8.3819692312893128</v>
      </c>
      <c r="M133" s="8">
        <f>IF(J133="","",IF(SUMIFS('Facturas y gastos'!$D$10:$D$13,'Facturas y gastos'!$A$10:$A$13,A133)=0,"",J133*SUMIFS('Facturas y gastos'!$I$10:$I$13,'Facturas y gastos'!$A$10:$A$13,A133)/SUMIFS('Facturas y gastos'!$D$10:$D$13,'Facturas y gastos'!$A$10:$A$13,A133)))</f>
        <v>56.528561488121539</v>
      </c>
      <c r="N133" s="8">
        <f>IF(J133="","",IF(SUMIFS('Facturas y gastos'!$D$10:$D$13,'Facturas y gastos'!$A$10:$A$13,A133)=0,"",J133*SUMIFS('Facturas y gastos'!$J$10:$J$13,'Facturas y gastos'!$A$10:$A$13,A133)/SUMIFS('Facturas y gastos'!$D$10:$D$13,'Facturas y gastos'!$A$10:$A$13,A133)))</f>
        <v>0</v>
      </c>
      <c r="O133" s="8">
        <f t="shared" si="2"/>
        <v>341.51594468280496</v>
      </c>
      <c r="P133" s="8" t="str">
        <f>IF(OR(O133="",'Facturas y gastos'!$B$24="",'Facturas y gastos'!$B$45&lt;&gt;"OK",SUM($O$8:$O$657)=0),"",O133*'Facturas y gastos'!$B$43/SUM($O$8:$O$657))</f>
        <v/>
      </c>
      <c r="Q133" s="8" t="str">
        <f>IF(OR(O133="",'Facturas y gastos'!$B$5="",P133=""),"",O133*'Facturas y gastos'!$B$5+P133)</f>
        <v/>
      </c>
      <c r="R133" s="8" t="str">
        <f t="shared" si="3"/>
        <v/>
      </c>
    </row>
    <row r="134" spans="1:18">
      <c r="A134" s="25" t="s">
        <v>60</v>
      </c>
      <c r="B134" s="25">
        <v>8</v>
      </c>
      <c r="C134" s="25" t="s">
        <v>267</v>
      </c>
      <c r="D134" s="25" t="s">
        <v>263</v>
      </c>
      <c r="E134" s="25" t="s">
        <v>108</v>
      </c>
      <c r="F134" s="27">
        <v>120</v>
      </c>
      <c r="G134" s="27">
        <v>1</v>
      </c>
      <c r="H134" s="29">
        <v>1.84</v>
      </c>
      <c r="I134" s="29">
        <v>220.3</v>
      </c>
      <c r="J134" s="8">
        <f>IF(OR(A134="",I134=""),"",IF(SUMIFS($I$8:$I$657,$A$8:$A$657,A134)=0,"",I134*SUMIFS('Facturas y gastos'!$D$10:$D$13,'Facturas y gastos'!$A$10:$A$13,A134)/SUMIFS($I$8:$I$657,$A$8:$A$657,A134)))</f>
        <v>220.29954864430661</v>
      </c>
      <c r="K134" s="8">
        <f>IF(J134="","",IF(SUMIFS('Facturas y gastos'!$D$10:$D$13,'Facturas y gastos'!$A$10:$A$13,A134)=0,"",J134*SUMIFS('Facturas y gastos'!$G$10:$G$13,'Facturas y gastos'!$A$10:$A$13,A134)/SUMIFS('Facturas y gastos'!$D$10:$D$13,'Facturas y gastos'!$A$10:$A$13,A134)))</f>
        <v>2.203010719697716</v>
      </c>
      <c r="L134" s="8">
        <f>IF(J134="","",IF(SUMIFS('Facturas y gastos'!$D$10:$D$13,'Facturas y gastos'!$A$10:$A$13,A134)=0,"",J134*SUMIFS('Facturas y gastos'!$H$10:$H$13,'Facturas y gastos'!$A$10:$A$13,A134)/SUMIFS('Facturas y gastos'!$D$10:$D$13,'Facturas y gastos'!$A$10:$A$13,A134)))</f>
        <v>6.6089757396314814</v>
      </c>
      <c r="M134" s="8">
        <f>IF(J134="","",IF(SUMIFS('Facturas y gastos'!$D$10:$D$13,'Facturas y gastos'!$A$10:$A$13,A134)=0,"",J134*SUMIFS('Facturas y gastos'!$I$10:$I$13,'Facturas y gastos'!$A$10:$A$13,A134)/SUMIFS('Facturas y gastos'!$D$10:$D$13,'Facturas y gastos'!$A$10:$A$13,A134)))</f>
        <v>44.571374716654169</v>
      </c>
      <c r="N134" s="8">
        <f>IF(J134="","",IF(SUMIFS('Facturas y gastos'!$D$10:$D$13,'Facturas y gastos'!$A$10:$A$13,A134)=0,"",J134*SUMIFS('Facturas y gastos'!$J$10:$J$13,'Facturas y gastos'!$A$10:$A$13,A134)/SUMIFS('Facturas y gastos'!$D$10:$D$13,'Facturas y gastos'!$A$10:$A$13,A134)))</f>
        <v>0</v>
      </c>
      <c r="O134" s="8">
        <f t="shared" si="2"/>
        <v>269.27688838089455</v>
      </c>
      <c r="P134" s="8" t="str">
        <f>IF(OR(O134="",'Facturas y gastos'!$B$24="",'Facturas y gastos'!$B$45&lt;&gt;"OK",SUM($O$8:$O$657)=0),"",O134*'Facturas y gastos'!$B$43/SUM($O$8:$O$657))</f>
        <v/>
      </c>
      <c r="Q134" s="8" t="str">
        <f>IF(OR(O134="",'Facturas y gastos'!$B$5="",P134=""),"",O134*'Facturas y gastos'!$B$5+P134)</f>
        <v/>
      </c>
      <c r="R134" s="8" t="str">
        <f t="shared" si="3"/>
        <v/>
      </c>
    </row>
    <row r="135" spans="1:18">
      <c r="A135" s="25" t="s">
        <v>60</v>
      </c>
      <c r="B135" s="25">
        <v>9</v>
      </c>
      <c r="C135" s="25" t="s">
        <v>268</v>
      </c>
      <c r="D135" s="25" t="s">
        <v>263</v>
      </c>
      <c r="E135" s="25" t="s">
        <v>108</v>
      </c>
      <c r="F135" s="27">
        <v>240</v>
      </c>
      <c r="G135" s="27">
        <v>1</v>
      </c>
      <c r="H135" s="29">
        <v>1.1000000000000001</v>
      </c>
      <c r="I135" s="29">
        <v>265.07</v>
      </c>
      <c r="J135" s="8">
        <f>IF(OR(A135="",I135=""),"",IF(SUMIFS($I$8:$I$657,$A$8:$A$657,A135)=0,"",I135*SUMIFS('Facturas y gastos'!$D$10:$D$13,'Facturas y gastos'!$A$10:$A$13,A135)/SUMIFS($I$8:$I$657,$A$8:$A$657,A135)))</f>
        <v>265.06945691850365</v>
      </c>
      <c r="K135" s="8">
        <f>IF(J135="","",IF(SUMIFS('Facturas y gastos'!$D$10:$D$13,'Facturas y gastos'!$A$10:$A$13,A135)=0,"",J135*SUMIFS('Facturas y gastos'!$G$10:$G$13,'Facturas y gastos'!$A$10:$A$13,A135)/SUMIFS('Facturas y gastos'!$D$10:$D$13,'Facturas y gastos'!$A$10:$A$13,A135)))</f>
        <v>2.6507128981855361</v>
      </c>
      <c r="L135" s="8">
        <f>IF(J135="","",IF(SUMIFS('Facturas y gastos'!$D$10:$D$13,'Facturas y gastos'!$A$10:$A$13,A135)=0,"",J135*SUMIFS('Facturas y gastos'!$H$10:$H$13,'Facturas y gastos'!$A$10:$A$13,A135)/SUMIFS('Facturas y gastos'!$D$10:$D$13,'Facturas y gastos'!$A$10:$A$13,A135)))</f>
        <v>7.9520708093695722</v>
      </c>
      <c r="M135" s="8">
        <f>IF(J135="","",IF(SUMIFS('Facturas y gastos'!$D$10:$D$13,'Facturas y gastos'!$A$10:$A$13,A135)=0,"",J135*SUMIFS('Facturas y gastos'!$I$10:$I$13,'Facturas y gastos'!$A$10:$A$13,A135)/SUMIFS('Facturas y gastos'!$D$10:$D$13,'Facturas y gastos'!$A$10:$A$13,A135)))</f>
        <v>53.629297758254751</v>
      </c>
      <c r="N135" s="8">
        <f>IF(J135="","",IF(SUMIFS('Facturas y gastos'!$D$10:$D$13,'Facturas y gastos'!$A$10:$A$13,A135)=0,"",J135*SUMIFS('Facturas y gastos'!$J$10:$J$13,'Facturas y gastos'!$A$10:$A$13,A135)/SUMIFS('Facturas y gastos'!$D$10:$D$13,'Facturas y gastos'!$A$10:$A$13,A135)))</f>
        <v>0</v>
      </c>
      <c r="O135" s="8">
        <f t="shared" si="2"/>
        <v>324.00011258794245</v>
      </c>
      <c r="P135" s="8" t="str">
        <f>IF(OR(O135="",'Facturas y gastos'!$B$24="",'Facturas y gastos'!$B$45&lt;&gt;"OK",SUM($O$8:$O$657)=0),"",O135*'Facturas y gastos'!$B$43/SUM($O$8:$O$657))</f>
        <v/>
      </c>
      <c r="Q135" s="8" t="str">
        <f>IF(OR(O135="",'Facturas y gastos'!$B$5="",P135=""),"",O135*'Facturas y gastos'!$B$5+P135)</f>
        <v/>
      </c>
      <c r="R135" s="8" t="str">
        <f t="shared" si="3"/>
        <v/>
      </c>
    </row>
    <row r="136" spans="1:18">
      <c r="A136" s="25" t="s">
        <v>60</v>
      </c>
      <c r="B136" s="25">
        <v>10</v>
      </c>
      <c r="C136" s="25" t="s">
        <v>269</v>
      </c>
      <c r="D136" s="25" t="s">
        <v>270</v>
      </c>
      <c r="E136" s="25" t="s">
        <v>108</v>
      </c>
      <c r="F136" s="27">
        <v>40</v>
      </c>
      <c r="G136" s="27">
        <v>40</v>
      </c>
      <c r="H136" s="29">
        <v>16.420000000000002</v>
      </c>
      <c r="I136" s="29">
        <v>656.72</v>
      </c>
      <c r="J136" s="8">
        <f>IF(OR(A136="",I136=""),"",IF(SUMIFS($I$8:$I$657,$A$8:$A$657,A136)=0,"",I136*SUMIFS('Facturas y gastos'!$D$10:$D$13,'Facturas y gastos'!$A$10:$A$13,A136)/SUMIFS($I$8:$I$657,$A$8:$A$657,A136)))</f>
        <v>656.71865449699976</v>
      </c>
      <c r="K136" s="8">
        <f>IF(J136="","",IF(SUMIFS('Facturas y gastos'!$D$10:$D$13,'Facturas y gastos'!$A$10:$A$13,A136)=0,"",J136*SUMIFS('Facturas y gastos'!$G$10:$G$13,'Facturas y gastos'!$A$10:$A$13,A136)/SUMIFS('Facturas y gastos'!$D$10:$D$13,'Facturas y gastos'!$A$10:$A$13,A136)))</f>
        <v>6.5672319556962515</v>
      </c>
      <c r="L136" s="8">
        <f>IF(J136="","",IF(SUMIFS('Facturas y gastos'!$D$10:$D$13,'Facturas y gastos'!$A$10:$A$13,A136)=0,"",J136*SUMIFS('Facturas y gastos'!$H$10:$H$13,'Facturas y gastos'!$A$10:$A$13,A136)/SUMIFS('Facturas y gastos'!$D$10:$D$13,'Facturas y gastos'!$A$10:$A$13,A136)))</f>
        <v>19.70152767921374</v>
      </c>
      <c r="M136" s="8">
        <f>IF(J136="","",IF(SUMIFS('Facturas y gastos'!$D$10:$D$13,'Facturas y gastos'!$A$10:$A$13,A136)=0,"",J136*SUMIFS('Facturas y gastos'!$I$10:$I$13,'Facturas y gastos'!$A$10:$A$13,A136)/SUMIFS('Facturas y gastos'!$D$10:$D$13,'Facturas y gastos'!$A$10:$A$13,A136)))</f>
        <v>132.86842126155756</v>
      </c>
      <c r="N136" s="8">
        <f>IF(J136="","",IF(SUMIFS('Facturas y gastos'!$D$10:$D$13,'Facturas y gastos'!$A$10:$A$13,A136)=0,"",J136*SUMIFS('Facturas y gastos'!$J$10:$J$13,'Facturas y gastos'!$A$10:$A$13,A136)/SUMIFS('Facturas y gastos'!$D$10:$D$13,'Facturas y gastos'!$A$10:$A$13,A136)))</f>
        <v>0</v>
      </c>
      <c r="O136" s="8">
        <f t="shared" ref="O136:O199" si="4">IF(J136="","",J136-K136+L136+M136+N136)</f>
        <v>802.7213714820748</v>
      </c>
      <c r="P136" s="8" t="str">
        <f>IF(OR(O136="",'Facturas y gastos'!$B$24="",'Facturas y gastos'!$B$45&lt;&gt;"OK",SUM($O$8:$O$657)=0),"",O136*'Facturas y gastos'!$B$43/SUM($O$8:$O$657))</f>
        <v/>
      </c>
      <c r="Q136" s="8" t="str">
        <f>IF(OR(O136="",'Facturas y gastos'!$B$5="",P136=""),"",O136*'Facturas y gastos'!$B$5+P136)</f>
        <v/>
      </c>
      <c r="R136" s="8" t="str">
        <f t="shared" ref="R136:R199" si="5">IF(OR(Q136="",F136="",F136=0),"",Q136/F136)</f>
        <v/>
      </c>
    </row>
    <row r="137" spans="1:18">
      <c r="A137" s="25" t="s">
        <v>60</v>
      </c>
      <c r="B137" s="25">
        <v>11</v>
      </c>
      <c r="C137" s="25" t="s">
        <v>271</v>
      </c>
      <c r="D137" s="25" t="s">
        <v>270</v>
      </c>
      <c r="E137" s="25" t="s">
        <v>108</v>
      </c>
      <c r="F137" s="27">
        <v>40</v>
      </c>
      <c r="G137" s="27">
        <v>8</v>
      </c>
      <c r="H137" s="29">
        <v>11.19</v>
      </c>
      <c r="I137" s="29">
        <v>447.76</v>
      </c>
      <c r="J137" s="8">
        <f>IF(OR(A137="",I137=""),"",IF(SUMIFS($I$8:$I$657,$A$8:$A$657,A137)=0,"",I137*SUMIFS('Facturas y gastos'!$D$10:$D$13,'Facturas y gastos'!$A$10:$A$13,A137)/SUMIFS($I$8:$I$657,$A$8:$A$657,A137)))</f>
        <v>447.75908261904095</v>
      </c>
      <c r="K137" s="8">
        <f>IF(J137="","",IF(SUMIFS('Facturas y gastos'!$D$10:$D$13,'Facturas y gastos'!$A$10:$A$13,A137)=0,"",J137*SUMIFS('Facturas y gastos'!$G$10:$G$13,'Facturas y gastos'!$A$10:$A$13,A137)/SUMIFS('Facturas y gastos'!$D$10:$D$13,'Facturas y gastos'!$A$10:$A$13,A137)))</f>
        <v>4.4776217877977729</v>
      </c>
      <c r="L137" s="8">
        <f>IF(J137="","",IF(SUMIFS('Facturas y gastos'!$D$10:$D$13,'Facturas y gastos'!$A$10:$A$13,A137)=0,"",J137*SUMIFS('Facturas y gastos'!$H$10:$H$13,'Facturas y gastos'!$A$10:$A$13,A137)/SUMIFS('Facturas y gastos'!$D$10:$D$13,'Facturas y gastos'!$A$10:$A$13,A137)))</f>
        <v>13.432750690773455</v>
      </c>
      <c r="M137" s="8">
        <f>IF(J137="","",IF(SUMIFS('Facturas y gastos'!$D$10:$D$13,'Facturas y gastos'!$A$10:$A$13,A137)=0,"",J137*SUMIFS('Facturas y gastos'!$I$10:$I$13,'Facturas y gastos'!$A$10:$A$13,A137)/SUMIFS('Facturas y gastos'!$D$10:$D$13,'Facturas y gastos'!$A$10:$A$13,A137)))</f>
        <v>90.591369691915901</v>
      </c>
      <c r="N137" s="8">
        <f>IF(J137="","",IF(SUMIFS('Facturas y gastos'!$D$10:$D$13,'Facturas y gastos'!$A$10:$A$13,A137)=0,"",J137*SUMIFS('Facturas y gastos'!$J$10:$J$13,'Facturas y gastos'!$A$10:$A$13,A137)/SUMIFS('Facturas y gastos'!$D$10:$D$13,'Facturas y gastos'!$A$10:$A$13,A137)))</f>
        <v>0</v>
      </c>
      <c r="O137" s="8">
        <f t="shared" si="4"/>
        <v>547.30558121393256</v>
      </c>
      <c r="P137" s="8" t="str">
        <f>IF(OR(O137="",'Facturas y gastos'!$B$24="",'Facturas y gastos'!$B$45&lt;&gt;"OK",SUM($O$8:$O$657)=0),"",O137*'Facturas y gastos'!$B$43/SUM($O$8:$O$657))</f>
        <v/>
      </c>
      <c r="Q137" s="8" t="str">
        <f>IF(OR(O137="",'Facturas y gastos'!$B$5="",P137=""),"",O137*'Facturas y gastos'!$B$5+P137)</f>
        <v/>
      </c>
      <c r="R137" s="8" t="str">
        <f t="shared" si="5"/>
        <v/>
      </c>
    </row>
    <row r="138" spans="1:18">
      <c r="A138" s="25" t="s">
        <v>60</v>
      </c>
      <c r="B138" s="25">
        <v>12</v>
      </c>
      <c r="C138" s="25" t="s">
        <v>272</v>
      </c>
      <c r="D138" s="25" t="s">
        <v>270</v>
      </c>
      <c r="E138" s="25" t="s">
        <v>108</v>
      </c>
      <c r="F138" s="27">
        <v>15</v>
      </c>
      <c r="G138" s="27">
        <v>15</v>
      </c>
      <c r="H138" s="29">
        <v>17.91</v>
      </c>
      <c r="I138" s="29">
        <v>268.66000000000003</v>
      </c>
      <c r="J138" s="8">
        <f>IF(OR(A138="",I138=""),"",IF(SUMIFS($I$8:$I$657,$A$8:$A$657,A138)=0,"",I138*SUMIFS('Facturas y gastos'!$D$10:$D$13,'Facturas y gastos'!$A$10:$A$13,A138)/SUMIFS($I$8:$I$657,$A$8:$A$657,A138)))</f>
        <v>268.65944956322932</v>
      </c>
      <c r="K138" s="8">
        <f>IF(J138="","",IF(SUMIFS('Facturas y gastos'!$D$10:$D$13,'Facturas y gastos'!$A$10:$A$13,A138)=0,"",J138*SUMIFS('Facturas y gastos'!$G$10:$G$13,'Facturas y gastos'!$A$10:$A$13,A138)/SUMIFS('Facturas y gastos'!$D$10:$D$13,'Facturas y gastos'!$A$10:$A$13,A138)))</f>
        <v>2.686613072873302</v>
      </c>
      <c r="L138" s="8">
        <f>IF(J138="","",IF(SUMIFS('Facturas y gastos'!$D$10:$D$13,'Facturas y gastos'!$A$10:$A$13,A138)=0,"",J138*SUMIFS('Facturas y gastos'!$H$10:$H$13,'Facturas y gastos'!$A$10:$A$13,A138)/SUMIFS('Facturas y gastos'!$D$10:$D$13,'Facturas y gastos'!$A$10:$A$13,A138)))</f>
        <v>8.0597704140235766</v>
      </c>
      <c r="M138" s="8">
        <f>IF(J138="","",IF(SUMIFS('Facturas y gastos'!$D$10:$D$13,'Facturas y gastos'!$A$10:$A$13,A138)=0,"",J138*SUMIFS('Facturas y gastos'!$I$10:$I$13,'Facturas y gastos'!$A$10:$A$13,A138)/SUMIFS('Facturas y gastos'!$D$10:$D$13,'Facturas y gastos'!$A$10:$A$13,A138)))</f>
        <v>54.355631100210218</v>
      </c>
      <c r="N138" s="8">
        <f>IF(J138="","",IF(SUMIFS('Facturas y gastos'!$D$10:$D$13,'Facturas y gastos'!$A$10:$A$13,A138)=0,"",J138*SUMIFS('Facturas y gastos'!$J$10:$J$13,'Facturas y gastos'!$A$10:$A$13,A138)/SUMIFS('Facturas y gastos'!$D$10:$D$13,'Facturas y gastos'!$A$10:$A$13,A138)))</f>
        <v>0</v>
      </c>
      <c r="O138" s="8">
        <f t="shared" si="4"/>
        <v>328.38823800458988</v>
      </c>
      <c r="P138" s="8" t="str">
        <f>IF(OR(O138="",'Facturas y gastos'!$B$24="",'Facturas y gastos'!$B$45&lt;&gt;"OK",SUM($O$8:$O$657)=0),"",O138*'Facturas y gastos'!$B$43/SUM($O$8:$O$657))</f>
        <v/>
      </c>
      <c r="Q138" s="8" t="str">
        <f>IF(OR(O138="",'Facturas y gastos'!$B$5="",P138=""),"",O138*'Facturas y gastos'!$B$5+P138)</f>
        <v/>
      </c>
      <c r="R138" s="8" t="str">
        <f t="shared" si="5"/>
        <v/>
      </c>
    </row>
    <row r="139" spans="1:18">
      <c r="A139" s="25" t="s">
        <v>60</v>
      </c>
      <c r="B139" s="25">
        <v>13</v>
      </c>
      <c r="C139" s="25" t="s">
        <v>273</v>
      </c>
      <c r="D139" s="25" t="s">
        <v>270</v>
      </c>
      <c r="E139" s="25" t="s">
        <v>108</v>
      </c>
      <c r="F139" s="27">
        <v>30</v>
      </c>
      <c r="G139" s="27">
        <v>30</v>
      </c>
      <c r="H139" s="29">
        <v>14.93</v>
      </c>
      <c r="I139" s="29">
        <v>447.76</v>
      </c>
      <c r="J139" s="8">
        <f>IF(OR(A139="",I139=""),"",IF(SUMIFS($I$8:$I$657,$A$8:$A$657,A139)=0,"",I139*SUMIFS('Facturas y gastos'!$D$10:$D$13,'Facturas y gastos'!$A$10:$A$13,A139)/SUMIFS($I$8:$I$657,$A$8:$A$657,A139)))</f>
        <v>447.75908261904095</v>
      </c>
      <c r="K139" s="8">
        <f>IF(J139="","",IF(SUMIFS('Facturas y gastos'!$D$10:$D$13,'Facturas y gastos'!$A$10:$A$13,A139)=0,"",J139*SUMIFS('Facturas y gastos'!$G$10:$G$13,'Facturas y gastos'!$A$10:$A$13,A139)/SUMIFS('Facturas y gastos'!$D$10:$D$13,'Facturas y gastos'!$A$10:$A$13,A139)))</f>
        <v>4.4776217877977729</v>
      </c>
      <c r="L139" s="8">
        <f>IF(J139="","",IF(SUMIFS('Facturas y gastos'!$D$10:$D$13,'Facturas y gastos'!$A$10:$A$13,A139)=0,"",J139*SUMIFS('Facturas y gastos'!$H$10:$H$13,'Facturas y gastos'!$A$10:$A$13,A139)/SUMIFS('Facturas y gastos'!$D$10:$D$13,'Facturas y gastos'!$A$10:$A$13,A139)))</f>
        <v>13.432750690773455</v>
      </c>
      <c r="M139" s="8">
        <f>IF(J139="","",IF(SUMIFS('Facturas y gastos'!$D$10:$D$13,'Facturas y gastos'!$A$10:$A$13,A139)=0,"",J139*SUMIFS('Facturas y gastos'!$I$10:$I$13,'Facturas y gastos'!$A$10:$A$13,A139)/SUMIFS('Facturas y gastos'!$D$10:$D$13,'Facturas y gastos'!$A$10:$A$13,A139)))</f>
        <v>90.591369691915901</v>
      </c>
      <c r="N139" s="8">
        <f>IF(J139="","",IF(SUMIFS('Facturas y gastos'!$D$10:$D$13,'Facturas y gastos'!$A$10:$A$13,A139)=0,"",J139*SUMIFS('Facturas y gastos'!$J$10:$J$13,'Facturas y gastos'!$A$10:$A$13,A139)/SUMIFS('Facturas y gastos'!$D$10:$D$13,'Facturas y gastos'!$A$10:$A$13,A139)))</f>
        <v>0</v>
      </c>
      <c r="O139" s="8">
        <f t="shared" si="4"/>
        <v>547.30558121393256</v>
      </c>
      <c r="P139" s="8" t="str">
        <f>IF(OR(O139="",'Facturas y gastos'!$B$24="",'Facturas y gastos'!$B$45&lt;&gt;"OK",SUM($O$8:$O$657)=0),"",O139*'Facturas y gastos'!$B$43/SUM($O$8:$O$657))</f>
        <v/>
      </c>
      <c r="Q139" s="8" t="str">
        <f>IF(OR(O139="",'Facturas y gastos'!$B$5="",P139=""),"",O139*'Facturas y gastos'!$B$5+P139)</f>
        <v/>
      </c>
      <c r="R139" s="8" t="str">
        <f t="shared" si="5"/>
        <v/>
      </c>
    </row>
    <row r="140" spans="1:18">
      <c r="A140" s="25" t="s">
        <v>60</v>
      </c>
      <c r="B140" s="25">
        <v>14</v>
      </c>
      <c r="C140" s="25" t="s">
        <v>274</v>
      </c>
      <c r="D140" s="25" t="s">
        <v>270</v>
      </c>
      <c r="E140" s="25" t="s">
        <v>108</v>
      </c>
      <c r="F140" s="27">
        <v>25</v>
      </c>
      <c r="G140" s="27">
        <v>5</v>
      </c>
      <c r="H140" s="29">
        <v>7.76</v>
      </c>
      <c r="I140" s="29">
        <v>194.03</v>
      </c>
      <c r="J140" s="8">
        <f>IF(OR(A140="",I140=""),"",IF(SUMIFS($I$8:$I$657,$A$8:$A$657,A140)=0,"",I140*SUMIFS('Facturas y gastos'!$D$10:$D$13,'Facturas y gastos'!$A$10:$A$13,A140)/SUMIFS($I$8:$I$657,$A$8:$A$657,A140)))</f>
        <v>194.02960246688522</v>
      </c>
      <c r="K140" s="8">
        <f>IF(J140="","",IF(SUMIFS('Facturas y gastos'!$D$10:$D$13,'Facturas y gastos'!$A$10:$A$13,A140)=0,"",J140*SUMIFS('Facturas y gastos'!$G$10:$G$13,'Facturas y gastos'!$A$10:$A$13,A140)/SUMIFS('Facturas y gastos'!$D$10:$D$13,'Facturas y gastos'!$A$10:$A$13,A140)))</f>
        <v>1.9403094414114745</v>
      </c>
      <c r="L140" s="8">
        <f>IF(J140="","",IF(SUMIFS('Facturas y gastos'!$D$10:$D$13,'Facturas y gastos'!$A$10:$A$13,A140)=0,"",J140*SUMIFS('Facturas y gastos'!$H$10:$H$13,'Facturas y gastos'!$A$10:$A$13,A140)/SUMIFS('Facturas y gastos'!$D$10:$D$13,'Facturas y gastos'!$A$10:$A$13,A140)))</f>
        <v>5.8208786325950816</v>
      </c>
      <c r="M140" s="8">
        <f>IF(J140="","",IF(SUMIFS('Facturas y gastos'!$D$10:$D$13,'Facturas y gastos'!$A$10:$A$13,A140)=0,"",J140*SUMIFS('Facturas y gastos'!$I$10:$I$13,'Facturas y gastos'!$A$10:$A$13,A140)/SUMIFS('Facturas y gastos'!$D$10:$D$13,'Facturas y gastos'!$A$10:$A$13,A140)))</f>
        <v>39.25639508067367</v>
      </c>
      <c r="N140" s="8">
        <f>IF(J140="","",IF(SUMIFS('Facturas y gastos'!$D$10:$D$13,'Facturas y gastos'!$A$10:$A$13,A140)=0,"",J140*SUMIFS('Facturas y gastos'!$J$10:$J$13,'Facturas y gastos'!$A$10:$A$13,A140)/SUMIFS('Facturas y gastos'!$D$10:$D$13,'Facturas y gastos'!$A$10:$A$13,A140)))</f>
        <v>0</v>
      </c>
      <c r="O140" s="8">
        <f t="shared" si="4"/>
        <v>237.16656673874252</v>
      </c>
      <c r="P140" s="8" t="str">
        <f>IF(OR(O140="",'Facturas y gastos'!$B$24="",'Facturas y gastos'!$B$45&lt;&gt;"OK",SUM($O$8:$O$657)=0),"",O140*'Facturas y gastos'!$B$43/SUM($O$8:$O$657))</f>
        <v/>
      </c>
      <c r="Q140" s="8" t="str">
        <f>IF(OR(O140="",'Facturas y gastos'!$B$5="",P140=""),"",O140*'Facturas y gastos'!$B$5+P140)</f>
        <v/>
      </c>
      <c r="R140" s="8" t="str">
        <f t="shared" si="5"/>
        <v/>
      </c>
    </row>
    <row r="141" spans="1:18">
      <c r="A141" s="25" t="s">
        <v>60</v>
      </c>
      <c r="B141" s="25">
        <v>15</v>
      </c>
      <c r="C141" s="25" t="s">
        <v>275</v>
      </c>
      <c r="D141" s="25" t="s">
        <v>270</v>
      </c>
      <c r="E141" s="25" t="s">
        <v>108</v>
      </c>
      <c r="F141" s="27">
        <v>150</v>
      </c>
      <c r="G141" s="27">
        <v>75</v>
      </c>
      <c r="H141" s="29">
        <v>3.88</v>
      </c>
      <c r="I141" s="29">
        <v>582.09</v>
      </c>
      <c r="J141" s="8">
        <f>IF(OR(A141="",I141=""),"",IF(SUMIFS($I$8:$I$657,$A$8:$A$657,A141)=0,"",I141*SUMIFS('Facturas y gastos'!$D$10:$D$13,'Facturas y gastos'!$A$10:$A$13,A141)/SUMIFS($I$8:$I$657,$A$8:$A$657,A141)))</f>
        <v>582.0888074006557</v>
      </c>
      <c r="K141" s="8">
        <f>IF(J141="","",IF(SUMIFS('Facturas y gastos'!$D$10:$D$13,'Facturas y gastos'!$A$10:$A$13,A141)=0,"",J141*SUMIFS('Facturas y gastos'!$G$10:$G$13,'Facturas y gastos'!$A$10:$A$13,A141)/SUMIFS('Facturas y gastos'!$D$10:$D$13,'Facturas y gastos'!$A$10:$A$13,A141)))</f>
        <v>5.8209283242344245</v>
      </c>
      <c r="L141" s="8">
        <f>IF(J141="","",IF(SUMIFS('Facturas y gastos'!$D$10:$D$13,'Facturas y gastos'!$A$10:$A$13,A141)=0,"",J141*SUMIFS('Facturas y gastos'!$H$10:$H$13,'Facturas y gastos'!$A$10:$A$13,A141)/SUMIFS('Facturas y gastos'!$D$10:$D$13,'Facturas y gastos'!$A$10:$A$13,A141)))</f>
        <v>17.462635897785244</v>
      </c>
      <c r="M141" s="8">
        <f>IF(J141="","",IF(SUMIFS('Facturas y gastos'!$D$10:$D$13,'Facturas y gastos'!$A$10:$A$13,A141)=0,"",J141*SUMIFS('Facturas y gastos'!$I$10:$I$13,'Facturas y gastos'!$A$10:$A$13,A141)/SUMIFS('Facturas y gastos'!$D$10:$D$13,'Facturas y gastos'!$A$10:$A$13,A141)))</f>
        <v>117.76918524202101</v>
      </c>
      <c r="N141" s="8">
        <f>IF(J141="","",IF(SUMIFS('Facturas y gastos'!$D$10:$D$13,'Facturas y gastos'!$A$10:$A$13,A141)=0,"",J141*SUMIFS('Facturas y gastos'!$J$10:$J$13,'Facturas y gastos'!$A$10:$A$13,A141)/SUMIFS('Facturas y gastos'!$D$10:$D$13,'Facturas y gastos'!$A$10:$A$13,A141)))</f>
        <v>0</v>
      </c>
      <c r="O141" s="8">
        <f t="shared" si="4"/>
        <v>711.49970021622755</v>
      </c>
      <c r="P141" s="8" t="str">
        <f>IF(OR(O141="",'Facturas y gastos'!$B$24="",'Facturas y gastos'!$B$45&lt;&gt;"OK",SUM($O$8:$O$657)=0),"",O141*'Facturas y gastos'!$B$43/SUM($O$8:$O$657))</f>
        <v/>
      </c>
      <c r="Q141" s="8" t="str">
        <f>IF(OR(O141="",'Facturas y gastos'!$B$5="",P141=""),"",O141*'Facturas y gastos'!$B$5+P141)</f>
        <v/>
      </c>
      <c r="R141" s="8" t="str">
        <f t="shared" si="5"/>
        <v/>
      </c>
    </row>
    <row r="142" spans="1:18">
      <c r="A142" s="25" t="s">
        <v>60</v>
      </c>
      <c r="B142" s="25">
        <v>16</v>
      </c>
      <c r="C142" s="25" t="s">
        <v>276</v>
      </c>
      <c r="D142" s="25" t="s">
        <v>270</v>
      </c>
      <c r="E142" s="25" t="s">
        <v>108</v>
      </c>
      <c r="F142" s="27">
        <v>150</v>
      </c>
      <c r="G142" s="27">
        <v>75</v>
      </c>
      <c r="H142" s="29">
        <v>3.88</v>
      </c>
      <c r="I142" s="29">
        <v>582.09</v>
      </c>
      <c r="J142" s="8">
        <f>IF(OR(A142="",I142=""),"",IF(SUMIFS($I$8:$I$657,$A$8:$A$657,A142)=0,"",I142*SUMIFS('Facturas y gastos'!$D$10:$D$13,'Facturas y gastos'!$A$10:$A$13,A142)/SUMIFS($I$8:$I$657,$A$8:$A$657,A142)))</f>
        <v>582.0888074006557</v>
      </c>
      <c r="K142" s="8">
        <f>IF(J142="","",IF(SUMIFS('Facturas y gastos'!$D$10:$D$13,'Facturas y gastos'!$A$10:$A$13,A142)=0,"",J142*SUMIFS('Facturas y gastos'!$G$10:$G$13,'Facturas y gastos'!$A$10:$A$13,A142)/SUMIFS('Facturas y gastos'!$D$10:$D$13,'Facturas y gastos'!$A$10:$A$13,A142)))</f>
        <v>5.8209283242344245</v>
      </c>
      <c r="L142" s="8">
        <f>IF(J142="","",IF(SUMIFS('Facturas y gastos'!$D$10:$D$13,'Facturas y gastos'!$A$10:$A$13,A142)=0,"",J142*SUMIFS('Facturas y gastos'!$H$10:$H$13,'Facturas y gastos'!$A$10:$A$13,A142)/SUMIFS('Facturas y gastos'!$D$10:$D$13,'Facturas y gastos'!$A$10:$A$13,A142)))</f>
        <v>17.462635897785244</v>
      </c>
      <c r="M142" s="8">
        <f>IF(J142="","",IF(SUMIFS('Facturas y gastos'!$D$10:$D$13,'Facturas y gastos'!$A$10:$A$13,A142)=0,"",J142*SUMIFS('Facturas y gastos'!$I$10:$I$13,'Facturas y gastos'!$A$10:$A$13,A142)/SUMIFS('Facturas y gastos'!$D$10:$D$13,'Facturas y gastos'!$A$10:$A$13,A142)))</f>
        <v>117.76918524202101</v>
      </c>
      <c r="N142" s="8">
        <f>IF(J142="","",IF(SUMIFS('Facturas y gastos'!$D$10:$D$13,'Facturas y gastos'!$A$10:$A$13,A142)=0,"",J142*SUMIFS('Facturas y gastos'!$J$10:$J$13,'Facturas y gastos'!$A$10:$A$13,A142)/SUMIFS('Facturas y gastos'!$D$10:$D$13,'Facturas y gastos'!$A$10:$A$13,A142)))</f>
        <v>0</v>
      </c>
      <c r="O142" s="8">
        <f t="shared" si="4"/>
        <v>711.49970021622755</v>
      </c>
      <c r="P142" s="8" t="str">
        <f>IF(OR(O142="",'Facturas y gastos'!$B$24="",'Facturas y gastos'!$B$45&lt;&gt;"OK",SUM($O$8:$O$657)=0),"",O142*'Facturas y gastos'!$B$43/SUM($O$8:$O$657))</f>
        <v/>
      </c>
      <c r="Q142" s="8" t="str">
        <f>IF(OR(O142="",'Facturas y gastos'!$B$5="",P142=""),"",O142*'Facturas y gastos'!$B$5+P142)</f>
        <v/>
      </c>
      <c r="R142" s="8" t="str">
        <f t="shared" si="5"/>
        <v/>
      </c>
    </row>
    <row r="143" spans="1:18">
      <c r="A143" s="25" t="s">
        <v>60</v>
      </c>
      <c r="B143" s="25">
        <v>17</v>
      </c>
      <c r="C143" s="25" t="s">
        <v>277</v>
      </c>
      <c r="D143" s="25" t="s">
        <v>270</v>
      </c>
      <c r="E143" s="25" t="s">
        <v>108</v>
      </c>
      <c r="F143" s="27">
        <v>300</v>
      </c>
      <c r="G143" s="27">
        <v>150</v>
      </c>
      <c r="H143" s="29">
        <v>2.69</v>
      </c>
      <c r="I143" s="29">
        <v>805.97</v>
      </c>
      <c r="J143" s="8">
        <f>IF(OR(A143="",I143=""),"",IF(SUMIFS($I$8:$I$657,$A$8:$A$657,A143)=0,"",I143*SUMIFS('Facturas y gastos'!$D$10:$D$13,'Facturas y gastos'!$A$10:$A$13,A143)/SUMIFS($I$8:$I$657,$A$8:$A$657,A143)))</f>
        <v>805.96834871017609</v>
      </c>
      <c r="K143" s="8">
        <f>IF(J143="","",IF(SUMIFS('Facturas y gastos'!$D$10:$D$13,'Facturas y gastos'!$A$10:$A$13,A143)=0,"",J143*SUMIFS('Facturas y gastos'!$G$10:$G$13,'Facturas y gastos'!$A$10:$A$13,A143)/SUMIFS('Facturas y gastos'!$D$10:$D$13,'Facturas y gastos'!$A$10:$A$13,A143)))</f>
        <v>8.0597392181333092</v>
      </c>
      <c r="L143" s="8">
        <f>IF(J143="","",IF(SUMIFS('Facturas y gastos'!$D$10:$D$13,'Facturas y gastos'!$A$10:$A$13,A143)=0,"",J143*SUMIFS('Facturas y gastos'!$H$10:$H$13,'Facturas y gastos'!$A$10:$A$13,A143)/SUMIFS('Facturas y gastos'!$D$10:$D$13,'Facturas y gastos'!$A$10:$A$13,A143)))</f>
        <v>24.179011243171971</v>
      </c>
      <c r="M143" s="8">
        <f>IF(J143="","",IF(SUMIFS('Facturas y gastos'!$D$10:$D$13,'Facturas y gastos'!$A$10:$A$13,A143)=0,"",J143*SUMIFS('Facturas y gastos'!$I$10:$I$13,'Facturas y gastos'!$A$10:$A$13,A143)/SUMIFS('Facturas y gastos'!$D$10:$D$13,'Facturas y gastos'!$A$10:$A$13,A143)))</f>
        <v>163.06487008797896</v>
      </c>
      <c r="N143" s="8">
        <f>IF(J143="","",IF(SUMIFS('Facturas y gastos'!$D$10:$D$13,'Facturas y gastos'!$A$10:$A$13,A143)=0,"",J143*SUMIFS('Facturas y gastos'!$J$10:$J$13,'Facturas y gastos'!$A$10:$A$13,A143)/SUMIFS('Facturas y gastos'!$D$10:$D$13,'Facturas y gastos'!$A$10:$A$13,A143)))</f>
        <v>0</v>
      </c>
      <c r="O143" s="8">
        <f t="shared" si="4"/>
        <v>985.15249082319372</v>
      </c>
      <c r="P143" s="8" t="str">
        <f>IF(OR(O143="",'Facturas y gastos'!$B$24="",'Facturas y gastos'!$B$45&lt;&gt;"OK",SUM($O$8:$O$657)=0),"",O143*'Facturas y gastos'!$B$43/SUM($O$8:$O$657))</f>
        <v/>
      </c>
      <c r="Q143" s="8" t="str">
        <f>IF(OR(O143="",'Facturas y gastos'!$B$5="",P143=""),"",O143*'Facturas y gastos'!$B$5+P143)</f>
        <v/>
      </c>
      <c r="R143" s="8" t="str">
        <f t="shared" si="5"/>
        <v/>
      </c>
    </row>
    <row r="144" spans="1:18">
      <c r="A144" s="25" t="s">
        <v>60</v>
      </c>
      <c r="B144" s="25">
        <v>18</v>
      </c>
      <c r="C144" s="25" t="s">
        <v>278</v>
      </c>
      <c r="D144" s="25" t="s">
        <v>270</v>
      </c>
      <c r="E144" s="25" t="s">
        <v>108</v>
      </c>
      <c r="F144" s="27">
        <v>30</v>
      </c>
      <c r="G144" s="27">
        <v>3</v>
      </c>
      <c r="H144" s="29">
        <v>4.33</v>
      </c>
      <c r="I144" s="29">
        <v>129.85</v>
      </c>
      <c r="J144" s="8">
        <f>IF(OR(A144="",I144=""),"",IF(SUMIFS($I$8:$I$657,$A$8:$A$657,A144)=0,"",I144*SUMIFS('Facturas y gastos'!$D$10:$D$13,'Facturas y gastos'!$A$10:$A$13,A144)/SUMIFS($I$8:$I$657,$A$8:$A$657,A144)))</f>
        <v>129.84973396034141</v>
      </c>
      <c r="K144" s="8">
        <f>IF(J144="","",IF(SUMIFS('Facturas y gastos'!$D$10:$D$13,'Facturas y gastos'!$A$10:$A$13,A144)=0,"",J144*SUMIFS('Facturas y gastos'!$G$10:$G$13,'Facturas y gastos'!$A$10:$A$13,A144)/SUMIFS('Facturas y gastos'!$D$10:$D$13,'Facturas y gastos'!$A$10:$A$13,A144)))</f>
        <v>1.2985063184418901</v>
      </c>
      <c r="L144" s="8">
        <f>IF(J144="","",IF(SUMIFS('Facturas y gastos'!$D$10:$D$13,'Facturas y gastos'!$A$10:$A$13,A144)=0,"",J144*SUMIFS('Facturas y gastos'!$H$10:$H$13,'Facturas y gastos'!$A$10:$A$13,A144)/SUMIFS('Facturas y gastos'!$D$10:$D$13,'Facturas y gastos'!$A$10:$A$13,A144)))</f>
        <v>3.8954857003683516</v>
      </c>
      <c r="M144" s="8">
        <f>IF(J144="","",IF(SUMIFS('Facturas y gastos'!$D$10:$D$13,'Facturas y gastos'!$A$10:$A$13,A144)=0,"",J144*SUMIFS('Facturas y gastos'!$I$10:$I$13,'Facturas y gastos'!$A$10:$A$13,A144)/SUMIFS('Facturas y gastos'!$D$10:$D$13,'Facturas y gastos'!$A$10:$A$13,A144)))</f>
        <v>26.271416282149541</v>
      </c>
      <c r="N144" s="8">
        <f>IF(J144="","",IF(SUMIFS('Facturas y gastos'!$D$10:$D$13,'Facturas y gastos'!$A$10:$A$13,A144)=0,"",J144*SUMIFS('Facturas y gastos'!$J$10:$J$13,'Facturas y gastos'!$A$10:$A$13,A144)/SUMIFS('Facturas y gastos'!$D$10:$D$13,'Facturas y gastos'!$A$10:$A$13,A144)))</f>
        <v>0</v>
      </c>
      <c r="O144" s="8">
        <f t="shared" si="4"/>
        <v>158.7181296244174</v>
      </c>
      <c r="P144" s="8" t="str">
        <f>IF(OR(O144="",'Facturas y gastos'!$B$24="",'Facturas y gastos'!$B$45&lt;&gt;"OK",SUM($O$8:$O$657)=0),"",O144*'Facturas y gastos'!$B$43/SUM($O$8:$O$657))</f>
        <v/>
      </c>
      <c r="Q144" s="8" t="str">
        <f>IF(OR(O144="",'Facturas y gastos'!$B$5="",P144=""),"",O144*'Facturas y gastos'!$B$5+P144)</f>
        <v/>
      </c>
      <c r="R144" s="8" t="str">
        <f t="shared" si="5"/>
        <v/>
      </c>
    </row>
    <row r="145" spans="1:18">
      <c r="A145" s="25" t="s">
        <v>60</v>
      </c>
      <c r="B145" s="25">
        <v>19</v>
      </c>
      <c r="C145" s="25" t="s">
        <v>279</v>
      </c>
      <c r="D145" s="25" t="s">
        <v>270</v>
      </c>
      <c r="E145" s="25" t="s">
        <v>108</v>
      </c>
      <c r="F145" s="27">
        <v>100</v>
      </c>
      <c r="G145" s="27">
        <v>100</v>
      </c>
      <c r="H145" s="29">
        <v>10.9</v>
      </c>
      <c r="I145" s="29">
        <v>1089.55</v>
      </c>
      <c r="J145" s="8">
        <f>IF(OR(A145="",I145=""),"",IF(SUMIFS($I$8:$I$657,$A$8:$A$657,A145)=0,"",I145*SUMIFS('Facturas y gastos'!$D$10:$D$13,'Facturas y gastos'!$A$10:$A$13,A145)/SUMIFS($I$8:$I$657,$A$8:$A$657,A145)))</f>
        <v>1089.5477677049673</v>
      </c>
      <c r="K145" s="8">
        <f>IF(J145="","",IF(SUMIFS('Facturas y gastos'!$D$10:$D$13,'Facturas y gastos'!$A$10:$A$13,A145)=0,"",J145*SUMIFS('Facturas y gastos'!$G$10:$G$13,'Facturas y gastos'!$A$10:$A$13,A145)/SUMIFS('Facturas y gastos'!$D$10:$D$13,'Facturas y gastos'!$A$10:$A$13,A145)))</f>
        <v>10.895553017007021</v>
      </c>
      <c r="L145" s="8">
        <f>IF(J145="","",IF(SUMIFS('Facturas y gastos'!$D$10:$D$13,'Facturas y gastos'!$A$10:$A$13,A145)=0,"",J145*SUMIFS('Facturas y gastos'!$H$10:$H$13,'Facturas y gastos'!$A$10:$A$13,A145)/SUMIFS('Facturas y gastos'!$D$10:$D$13,'Facturas y gastos'!$A$10:$A$13,A145)))</f>
        <v>32.686380014142003</v>
      </c>
      <c r="M145" s="8">
        <f>IF(J145="","",IF(SUMIFS('Facturas y gastos'!$D$10:$D$13,'Facturas y gastos'!$A$10:$A$13,A145)=0,"",J145*SUMIFS('Facturas y gastos'!$I$10:$I$13,'Facturas y gastos'!$A$10:$A$13,A145)/SUMIFS('Facturas y gastos'!$D$10:$D$13,'Facturas y gastos'!$A$10:$A$13,A145)))</f>
        <v>220.43913446450551</v>
      </c>
      <c r="N145" s="8">
        <f>IF(J145="","",IF(SUMIFS('Facturas y gastos'!$D$10:$D$13,'Facturas y gastos'!$A$10:$A$13,A145)=0,"",J145*SUMIFS('Facturas y gastos'!$J$10:$J$13,'Facturas y gastos'!$A$10:$A$13,A145)/SUMIFS('Facturas y gastos'!$D$10:$D$13,'Facturas y gastos'!$A$10:$A$13,A145)))</f>
        <v>0</v>
      </c>
      <c r="O145" s="8">
        <f t="shared" si="4"/>
        <v>1331.777729166608</v>
      </c>
      <c r="P145" s="8" t="str">
        <f>IF(OR(O145="",'Facturas y gastos'!$B$24="",'Facturas y gastos'!$B$45&lt;&gt;"OK",SUM($O$8:$O$657)=0),"",O145*'Facturas y gastos'!$B$43/SUM($O$8:$O$657))</f>
        <v/>
      </c>
      <c r="Q145" s="8" t="str">
        <f>IF(OR(O145="",'Facturas y gastos'!$B$5="",P145=""),"",O145*'Facturas y gastos'!$B$5+P145)</f>
        <v/>
      </c>
      <c r="R145" s="8" t="str">
        <f t="shared" si="5"/>
        <v/>
      </c>
    </row>
    <row r="146" spans="1:18">
      <c r="A146" s="25" t="s">
        <v>60</v>
      </c>
      <c r="B146" s="25">
        <v>20</v>
      </c>
      <c r="C146" s="25" t="s">
        <v>280</v>
      </c>
      <c r="D146" s="25" t="s">
        <v>281</v>
      </c>
      <c r="E146" s="25" t="s">
        <v>108</v>
      </c>
      <c r="F146" s="27">
        <v>60</v>
      </c>
      <c r="G146" s="27">
        <v>3</v>
      </c>
      <c r="H146" s="29">
        <v>2.82</v>
      </c>
      <c r="I146" s="29">
        <v>169.25</v>
      </c>
      <c r="J146" s="8">
        <f>IF(OR(A146="",I146=""),"",IF(SUMIFS($I$8:$I$657,$A$8:$A$657,A146)=0,"",I146*SUMIFS('Facturas y gastos'!$D$10:$D$13,'Facturas y gastos'!$A$10:$A$13,A146)/SUMIFS($I$8:$I$657,$A$8:$A$657,A146)))</f>
        <v>169.24965323671762</v>
      </c>
      <c r="K146" s="8">
        <f>IF(J146="","",IF(SUMIFS('Facturas y gastos'!$D$10:$D$13,'Facturas y gastos'!$A$10:$A$13,A146)=0,"",J146*SUMIFS('Facturas y gastos'!$G$10:$G$13,'Facturas y gastos'!$A$10:$A$13,A146)/SUMIFS('Facturas y gastos'!$D$10:$D$13,'Facturas y gastos'!$A$10:$A$13,A146)))</f>
        <v>1.6925082356279548</v>
      </c>
      <c r="L146" s="8">
        <f>IF(J146="","",IF(SUMIFS('Facturas y gastos'!$D$10:$D$13,'Facturas y gastos'!$A$10:$A$13,A146)=0,"",J146*SUMIFS('Facturas y gastos'!$H$10:$H$13,'Facturas y gastos'!$A$10:$A$13,A146)/SUMIFS('Facturas y gastos'!$D$10:$D$13,'Facturas y gastos'!$A$10:$A$13,A146)))</f>
        <v>5.0774813614735734</v>
      </c>
      <c r="M146" s="8">
        <f>IF(J146="","",IF(SUMIFS('Facturas y gastos'!$D$10:$D$13,'Facturas y gastos'!$A$10:$A$13,A146)=0,"",J146*SUMIFS('Facturas y gastos'!$I$10:$I$13,'Facturas y gastos'!$A$10:$A$13,A146)/SUMIFS('Facturas y gastos'!$D$10:$D$13,'Facturas y gastos'!$A$10:$A$13,A146)))</f>
        <v>34.242874129794458</v>
      </c>
      <c r="N146" s="8">
        <f>IF(J146="","",IF(SUMIFS('Facturas y gastos'!$D$10:$D$13,'Facturas y gastos'!$A$10:$A$13,A146)=0,"",J146*SUMIFS('Facturas y gastos'!$J$10:$J$13,'Facturas y gastos'!$A$10:$A$13,A146)/SUMIFS('Facturas y gastos'!$D$10:$D$13,'Facturas y gastos'!$A$10:$A$13,A146)))</f>
        <v>0</v>
      </c>
      <c r="O146" s="8">
        <f t="shared" si="4"/>
        <v>206.87750049235768</v>
      </c>
      <c r="P146" s="8" t="str">
        <f>IF(OR(O146="",'Facturas y gastos'!$B$24="",'Facturas y gastos'!$B$45&lt;&gt;"OK",SUM($O$8:$O$657)=0),"",O146*'Facturas y gastos'!$B$43/SUM($O$8:$O$657))</f>
        <v/>
      </c>
      <c r="Q146" s="8" t="str">
        <f>IF(OR(O146="",'Facturas y gastos'!$B$5="",P146=""),"",O146*'Facturas y gastos'!$B$5+P146)</f>
        <v/>
      </c>
      <c r="R146" s="8" t="str">
        <f t="shared" si="5"/>
        <v/>
      </c>
    </row>
    <row r="147" spans="1:18">
      <c r="A147" s="25" t="s">
        <v>60</v>
      </c>
      <c r="B147" s="25">
        <v>21</v>
      </c>
      <c r="C147" s="25" t="s">
        <v>282</v>
      </c>
      <c r="D147" s="25" t="s">
        <v>281</v>
      </c>
      <c r="E147" s="25" t="s">
        <v>108</v>
      </c>
      <c r="F147" s="27">
        <v>60</v>
      </c>
      <c r="G147" s="27">
        <v>3</v>
      </c>
      <c r="H147" s="29">
        <v>2.9</v>
      </c>
      <c r="I147" s="29">
        <v>173.73</v>
      </c>
      <c r="J147" s="8">
        <f>IF(OR(A147="",I147=""),"",IF(SUMIFS($I$8:$I$657,$A$8:$A$657,A147)=0,"",I147*SUMIFS('Facturas y gastos'!$D$10:$D$13,'Facturas y gastos'!$A$10:$A$13,A147)/SUMIFS($I$8:$I$657,$A$8:$A$657,A147)))</f>
        <v>173.72964405799087</v>
      </c>
      <c r="K147" s="8">
        <f>IF(J147="","",IF(SUMIFS('Facturas y gastos'!$D$10:$D$13,'Facturas y gastos'!$A$10:$A$13,A147)=0,"",J147*SUMIFS('Facturas y gastos'!$G$10:$G$13,'Facturas y gastos'!$A$10:$A$13,A147)/SUMIFS('Facturas y gastos'!$D$10:$D$13,'Facturas y gastos'!$A$10:$A$13,A147)))</f>
        <v>1.7373084536227157</v>
      </c>
      <c r="L147" s="8">
        <f>IF(J147="","",IF(SUMIFS('Facturas y gastos'!$D$10:$D$13,'Facturas y gastos'!$A$10:$A$13,A147)=0,"",J147*SUMIFS('Facturas y gastos'!$H$10:$H$13,'Facturas y gastos'!$A$10:$A$13,A147)/SUMIFS('Facturas y gastos'!$D$10:$D$13,'Facturas y gastos'!$A$10:$A$13,A147)))</f>
        <v>5.2118808681170101</v>
      </c>
      <c r="M147" s="8">
        <f>IF(J147="","",IF(SUMIFS('Facturas y gastos'!$D$10:$D$13,'Facturas y gastos'!$A$10:$A$13,A147)=0,"",J147*SUMIFS('Facturas y gastos'!$I$10:$I$13,'Facturas y gastos'!$A$10:$A$13,A147)/SUMIFS('Facturas y gastos'!$D$10:$D$13,'Facturas y gastos'!$A$10:$A$13,A147)))</f>
        <v>35.149273397750022</v>
      </c>
      <c r="N147" s="8">
        <f>IF(J147="","",IF(SUMIFS('Facturas y gastos'!$D$10:$D$13,'Facturas y gastos'!$A$10:$A$13,A147)=0,"",J147*SUMIFS('Facturas y gastos'!$J$10:$J$13,'Facturas y gastos'!$A$10:$A$13,A147)/SUMIFS('Facturas y gastos'!$D$10:$D$13,'Facturas y gastos'!$A$10:$A$13,A147)))</f>
        <v>0</v>
      </c>
      <c r="O147" s="8">
        <f t="shared" si="4"/>
        <v>212.35348987023519</v>
      </c>
      <c r="P147" s="8" t="str">
        <f>IF(OR(O147="",'Facturas y gastos'!$B$24="",'Facturas y gastos'!$B$45&lt;&gt;"OK",SUM($O$8:$O$657)=0),"",O147*'Facturas y gastos'!$B$43/SUM($O$8:$O$657))</f>
        <v/>
      </c>
      <c r="Q147" s="8" t="str">
        <f>IF(OR(O147="",'Facturas y gastos'!$B$5="",P147=""),"",O147*'Facturas y gastos'!$B$5+P147)</f>
        <v/>
      </c>
      <c r="R147" s="8" t="str">
        <f t="shared" si="5"/>
        <v/>
      </c>
    </row>
    <row r="148" spans="1:18">
      <c r="A148" s="25" t="s">
        <v>60</v>
      </c>
      <c r="B148" s="25">
        <v>22</v>
      </c>
      <c r="C148" s="25" t="s">
        <v>283</v>
      </c>
      <c r="D148" s="25" t="s">
        <v>281</v>
      </c>
      <c r="E148" s="25" t="s">
        <v>108</v>
      </c>
      <c r="F148" s="27">
        <v>36</v>
      </c>
      <c r="G148" s="27">
        <v>3</v>
      </c>
      <c r="H148" s="29">
        <v>3.43</v>
      </c>
      <c r="I148" s="29">
        <v>123.58</v>
      </c>
      <c r="J148" s="8">
        <f>IF(OR(A148="",I148=""),"",IF(SUMIFS($I$8:$I$657,$A$8:$A$657,A148)=0,"",I148*SUMIFS('Facturas y gastos'!$D$10:$D$13,'Facturas y gastos'!$A$10:$A$13,A148)/SUMIFS($I$8:$I$657,$A$8:$A$657,A148)))</f>
        <v>123.57974680646124</v>
      </c>
      <c r="K148" s="8">
        <f>IF(J148="","",IF(SUMIFS('Facturas y gastos'!$D$10:$D$13,'Facturas y gastos'!$A$10:$A$13,A148)=0,"",J148*SUMIFS('Facturas y gastos'!$G$10:$G$13,'Facturas y gastos'!$A$10:$A$13,A148)/SUMIFS('Facturas y gastos'!$D$10:$D$13,'Facturas y gastos'!$A$10:$A$13,A148)))</f>
        <v>1.2358060133465445</v>
      </c>
      <c r="L148" s="8">
        <f>IF(J148="","",IF(SUMIFS('Facturas y gastos'!$D$10:$D$13,'Facturas y gastos'!$A$10:$A$13,A148)=0,"",J148*SUMIFS('Facturas y gastos'!$H$10:$H$13,'Facturas y gastos'!$A$10:$A$13,A148)/SUMIFS('Facturas y gastos'!$D$10:$D$13,'Facturas y gastos'!$A$10:$A$13,A148)))</f>
        <v>3.7073863908472924</v>
      </c>
      <c r="M148" s="8">
        <f>IF(J148="","",IF(SUMIFS('Facturas y gastos'!$D$10:$D$13,'Facturas y gastos'!$A$10:$A$13,A148)=0,"",J148*SUMIFS('Facturas y gastos'!$I$10:$I$13,'Facturas y gastos'!$A$10:$A$13,A148)/SUMIFS('Facturas y gastos'!$D$10:$D$13,'Facturas y gastos'!$A$10:$A$13,A148)))</f>
        <v>25.002861949542091</v>
      </c>
      <c r="N148" s="8">
        <f>IF(J148="","",IF(SUMIFS('Facturas y gastos'!$D$10:$D$13,'Facturas y gastos'!$A$10:$A$13,A148)=0,"",J148*SUMIFS('Facturas y gastos'!$J$10:$J$13,'Facturas y gastos'!$A$10:$A$13,A148)/SUMIFS('Facturas y gastos'!$D$10:$D$13,'Facturas y gastos'!$A$10:$A$13,A148)))</f>
        <v>0</v>
      </c>
      <c r="O148" s="8">
        <f t="shared" si="4"/>
        <v>151.05418913350408</v>
      </c>
      <c r="P148" s="8" t="str">
        <f>IF(OR(O148="",'Facturas y gastos'!$B$24="",'Facturas y gastos'!$B$45&lt;&gt;"OK",SUM($O$8:$O$657)=0),"",O148*'Facturas y gastos'!$B$43/SUM($O$8:$O$657))</f>
        <v/>
      </c>
      <c r="Q148" s="8" t="str">
        <f>IF(OR(O148="",'Facturas y gastos'!$B$5="",P148=""),"",O148*'Facturas y gastos'!$B$5+P148)</f>
        <v/>
      </c>
      <c r="R148" s="8" t="str">
        <f t="shared" si="5"/>
        <v/>
      </c>
    </row>
    <row r="149" spans="1:18">
      <c r="A149" s="25" t="s">
        <v>60</v>
      </c>
      <c r="B149" s="25">
        <v>23</v>
      </c>
      <c r="C149" s="25" t="s">
        <v>284</v>
      </c>
      <c r="D149" s="25" t="s">
        <v>285</v>
      </c>
      <c r="E149" s="25" t="s">
        <v>108</v>
      </c>
      <c r="F149" s="27">
        <v>36</v>
      </c>
      <c r="G149" s="27">
        <v>3</v>
      </c>
      <c r="H149" s="29">
        <v>4.7</v>
      </c>
      <c r="I149" s="29">
        <v>169.25</v>
      </c>
      <c r="J149" s="8">
        <f>IF(OR(A149="",I149=""),"",IF(SUMIFS($I$8:$I$657,$A$8:$A$657,A149)=0,"",I149*SUMIFS('Facturas y gastos'!$D$10:$D$13,'Facturas y gastos'!$A$10:$A$13,A149)/SUMIFS($I$8:$I$657,$A$8:$A$657,A149)))</f>
        <v>169.24965323671762</v>
      </c>
      <c r="K149" s="8">
        <f>IF(J149="","",IF(SUMIFS('Facturas y gastos'!$D$10:$D$13,'Facturas y gastos'!$A$10:$A$13,A149)=0,"",J149*SUMIFS('Facturas y gastos'!$G$10:$G$13,'Facturas y gastos'!$A$10:$A$13,A149)/SUMIFS('Facturas y gastos'!$D$10:$D$13,'Facturas y gastos'!$A$10:$A$13,A149)))</f>
        <v>1.6925082356279548</v>
      </c>
      <c r="L149" s="8">
        <f>IF(J149="","",IF(SUMIFS('Facturas y gastos'!$D$10:$D$13,'Facturas y gastos'!$A$10:$A$13,A149)=0,"",J149*SUMIFS('Facturas y gastos'!$H$10:$H$13,'Facturas y gastos'!$A$10:$A$13,A149)/SUMIFS('Facturas y gastos'!$D$10:$D$13,'Facturas y gastos'!$A$10:$A$13,A149)))</f>
        <v>5.0774813614735734</v>
      </c>
      <c r="M149" s="8">
        <f>IF(J149="","",IF(SUMIFS('Facturas y gastos'!$D$10:$D$13,'Facturas y gastos'!$A$10:$A$13,A149)=0,"",J149*SUMIFS('Facturas y gastos'!$I$10:$I$13,'Facturas y gastos'!$A$10:$A$13,A149)/SUMIFS('Facturas y gastos'!$D$10:$D$13,'Facturas y gastos'!$A$10:$A$13,A149)))</f>
        <v>34.242874129794458</v>
      </c>
      <c r="N149" s="8">
        <f>IF(J149="","",IF(SUMIFS('Facturas y gastos'!$D$10:$D$13,'Facturas y gastos'!$A$10:$A$13,A149)=0,"",J149*SUMIFS('Facturas y gastos'!$J$10:$J$13,'Facturas y gastos'!$A$10:$A$13,A149)/SUMIFS('Facturas y gastos'!$D$10:$D$13,'Facturas y gastos'!$A$10:$A$13,A149)))</f>
        <v>0</v>
      </c>
      <c r="O149" s="8">
        <f t="shared" si="4"/>
        <v>206.87750049235768</v>
      </c>
      <c r="P149" s="8" t="str">
        <f>IF(OR(O149="",'Facturas y gastos'!$B$24="",'Facturas y gastos'!$B$45&lt;&gt;"OK",SUM($O$8:$O$657)=0),"",O149*'Facturas y gastos'!$B$43/SUM($O$8:$O$657))</f>
        <v/>
      </c>
      <c r="Q149" s="8" t="str">
        <f>IF(OR(O149="",'Facturas y gastos'!$B$5="",P149=""),"",O149*'Facturas y gastos'!$B$5+P149)</f>
        <v/>
      </c>
      <c r="R149" s="8" t="str">
        <f t="shared" si="5"/>
        <v/>
      </c>
    </row>
    <row r="150" spans="1:18">
      <c r="A150" s="25" t="s">
        <v>60</v>
      </c>
      <c r="B150" s="25">
        <v>24</v>
      </c>
      <c r="C150" s="25" t="s">
        <v>286</v>
      </c>
      <c r="D150" s="25" t="s">
        <v>285</v>
      </c>
      <c r="E150" s="25" t="s">
        <v>108</v>
      </c>
      <c r="F150" s="27">
        <v>36</v>
      </c>
      <c r="G150" s="27">
        <v>3</v>
      </c>
      <c r="H150" s="29">
        <v>5.18</v>
      </c>
      <c r="I150" s="29">
        <v>186.45</v>
      </c>
      <c r="J150" s="8">
        <f>IF(OR(A150="",I150=""),"",IF(SUMIFS($I$8:$I$657,$A$8:$A$657,A150)=0,"",I150*SUMIFS('Facturas y gastos'!$D$10:$D$13,'Facturas y gastos'!$A$10:$A$13,A150)/SUMIFS($I$8:$I$657,$A$8:$A$657,A150)))</f>
        <v>186.44961799696307</v>
      </c>
      <c r="K150" s="8">
        <f>IF(J150="","",IF(SUMIFS('Facturas y gastos'!$D$10:$D$13,'Facturas y gastos'!$A$10:$A$13,A150)=0,"",J150*SUMIFS('Facturas y gastos'!$G$10:$G$13,'Facturas y gastos'!$A$10:$A$13,A150)/SUMIFS('Facturas y gastos'!$D$10:$D$13,'Facturas y gastos'!$A$10:$A$13,A150)))</f>
        <v>1.8645090725721252</v>
      </c>
      <c r="L150" s="8">
        <f>IF(J150="","",IF(SUMIFS('Facturas y gastos'!$D$10:$D$13,'Facturas y gastos'!$A$10:$A$13,A150)=0,"",J150*SUMIFS('Facturas y gastos'!$H$10:$H$13,'Facturas y gastos'!$A$10:$A$13,A150)/SUMIFS('Facturas y gastos'!$D$10:$D$13,'Facturas y gastos'!$A$10:$A$13,A150)))</f>
        <v>5.5934794673367669</v>
      </c>
      <c r="M150" s="8">
        <f>IF(J150="","",IF(SUMIFS('Facturas y gastos'!$D$10:$D$13,'Facturas y gastos'!$A$10:$A$13,A150)=0,"",J150*SUMIFS('Facturas y gastos'!$I$10:$I$13,'Facturas y gastos'!$A$10:$A$13,A150)/SUMIFS('Facturas y gastos'!$D$10:$D$13,'Facturas y gastos'!$A$10:$A$13,A150)))</f>
        <v>37.722799890695278</v>
      </c>
      <c r="N150" s="8">
        <f>IF(J150="","",IF(SUMIFS('Facturas y gastos'!$D$10:$D$13,'Facturas y gastos'!$A$10:$A$13,A150)=0,"",J150*SUMIFS('Facturas y gastos'!$J$10:$J$13,'Facturas y gastos'!$A$10:$A$13,A150)/SUMIFS('Facturas y gastos'!$D$10:$D$13,'Facturas y gastos'!$A$10:$A$13,A150)))</f>
        <v>0</v>
      </c>
      <c r="O150" s="8">
        <f t="shared" si="4"/>
        <v>227.901388282423</v>
      </c>
      <c r="P150" s="8" t="str">
        <f>IF(OR(O150="",'Facturas y gastos'!$B$24="",'Facturas y gastos'!$B$45&lt;&gt;"OK",SUM($O$8:$O$657)=0),"",O150*'Facturas y gastos'!$B$43/SUM($O$8:$O$657))</f>
        <v/>
      </c>
      <c r="Q150" s="8" t="str">
        <f>IF(OR(O150="",'Facturas y gastos'!$B$5="",P150=""),"",O150*'Facturas y gastos'!$B$5+P150)</f>
        <v/>
      </c>
      <c r="R150" s="8" t="str">
        <f t="shared" si="5"/>
        <v/>
      </c>
    </row>
    <row r="151" spans="1:18">
      <c r="A151" s="25" t="s">
        <v>60</v>
      </c>
      <c r="B151" s="25">
        <v>25</v>
      </c>
      <c r="C151" s="25" t="s">
        <v>287</v>
      </c>
      <c r="D151" s="25" t="s">
        <v>285</v>
      </c>
      <c r="E151" s="25" t="s">
        <v>108</v>
      </c>
      <c r="F151" s="27">
        <v>36</v>
      </c>
      <c r="G151" s="27">
        <v>3</v>
      </c>
      <c r="H151" s="29">
        <v>6.57</v>
      </c>
      <c r="I151" s="29">
        <v>236.42</v>
      </c>
      <c r="J151" s="8">
        <f>IF(OR(A151="",I151=""),"",IF(SUMIFS($I$8:$I$657,$A$8:$A$657,A151)=0,"",I151*SUMIFS('Facturas y gastos'!$D$10:$D$13,'Facturas y gastos'!$A$10:$A$13,A151)/SUMIFS($I$8:$I$657,$A$8:$A$657,A151)))</f>
        <v>236.41951561728084</v>
      </c>
      <c r="K151" s="8">
        <f>IF(J151="","",IF(SUMIFS('Facturas y gastos'!$D$10:$D$13,'Facturas y gastos'!$A$10:$A$13,A151)=0,"",J151*SUMIFS('Facturas y gastos'!$G$10:$G$13,'Facturas y gastos'!$A$10:$A$13,A151)/SUMIFS('Facturas y gastos'!$D$10:$D$13,'Facturas y gastos'!$A$10:$A$13,A151)))</f>
        <v>2.3642115040895781</v>
      </c>
      <c r="L151" s="8">
        <f>IF(J151="","",IF(SUMIFS('Facturas y gastos'!$D$10:$D$13,'Facturas y gastos'!$A$10:$A$13,A151)=0,"",J151*SUMIFS('Facturas y gastos'!$H$10:$H$13,'Facturas y gastos'!$A$10:$A$13,A151)/SUMIFS('Facturas y gastos'!$D$10:$D$13,'Facturas y gastos'!$A$10:$A$13,A151)))</f>
        <v>7.0925739644288468</v>
      </c>
      <c r="M151" s="8">
        <f>IF(J151="","",IF(SUMIFS('Facturas y gastos'!$D$10:$D$13,'Facturas y gastos'!$A$10:$A$13,A151)=0,"",J151*SUMIFS('Facturas y gastos'!$I$10:$I$13,'Facturas y gastos'!$A$10:$A$13,A151)/SUMIFS('Facturas y gastos'!$D$10:$D$13,'Facturas y gastos'!$A$10:$A$13,A151)))</f>
        <v>47.832793511172852</v>
      </c>
      <c r="N151" s="8">
        <f>IF(J151="","",IF(SUMIFS('Facturas y gastos'!$D$10:$D$13,'Facturas y gastos'!$A$10:$A$13,A151)=0,"",J151*SUMIFS('Facturas y gastos'!$J$10:$J$13,'Facturas y gastos'!$A$10:$A$13,A151)/SUMIFS('Facturas y gastos'!$D$10:$D$13,'Facturas y gastos'!$A$10:$A$13,A151)))</f>
        <v>0</v>
      </c>
      <c r="O151" s="8">
        <f t="shared" si="4"/>
        <v>288.98067158879297</v>
      </c>
      <c r="P151" s="8" t="str">
        <f>IF(OR(O151="",'Facturas y gastos'!$B$24="",'Facturas y gastos'!$B$45&lt;&gt;"OK",SUM($O$8:$O$657)=0),"",O151*'Facturas y gastos'!$B$43/SUM($O$8:$O$657))</f>
        <v/>
      </c>
      <c r="Q151" s="8" t="str">
        <f>IF(OR(O151="",'Facturas y gastos'!$B$5="",P151=""),"",O151*'Facturas y gastos'!$B$5+P151)</f>
        <v/>
      </c>
      <c r="R151" s="8" t="str">
        <f t="shared" si="5"/>
        <v/>
      </c>
    </row>
    <row r="152" spans="1:18">
      <c r="A152" s="25" t="s">
        <v>60</v>
      </c>
      <c r="B152" s="25">
        <v>26</v>
      </c>
      <c r="C152" s="25" t="s">
        <v>288</v>
      </c>
      <c r="D152" s="25" t="s">
        <v>285</v>
      </c>
      <c r="E152" s="25" t="s">
        <v>108</v>
      </c>
      <c r="F152" s="27">
        <v>36</v>
      </c>
      <c r="G152" s="27">
        <v>3</v>
      </c>
      <c r="H152" s="29">
        <v>4.7</v>
      </c>
      <c r="I152" s="29">
        <v>169.25</v>
      </c>
      <c r="J152" s="8">
        <f>IF(OR(A152="",I152=""),"",IF(SUMIFS($I$8:$I$657,$A$8:$A$657,A152)=0,"",I152*SUMIFS('Facturas y gastos'!$D$10:$D$13,'Facturas y gastos'!$A$10:$A$13,A152)/SUMIFS($I$8:$I$657,$A$8:$A$657,A152)))</f>
        <v>169.24965323671762</v>
      </c>
      <c r="K152" s="8">
        <f>IF(J152="","",IF(SUMIFS('Facturas y gastos'!$D$10:$D$13,'Facturas y gastos'!$A$10:$A$13,A152)=0,"",J152*SUMIFS('Facturas y gastos'!$G$10:$G$13,'Facturas y gastos'!$A$10:$A$13,A152)/SUMIFS('Facturas y gastos'!$D$10:$D$13,'Facturas y gastos'!$A$10:$A$13,A152)))</f>
        <v>1.6925082356279548</v>
      </c>
      <c r="L152" s="8">
        <f>IF(J152="","",IF(SUMIFS('Facturas y gastos'!$D$10:$D$13,'Facturas y gastos'!$A$10:$A$13,A152)=0,"",J152*SUMIFS('Facturas y gastos'!$H$10:$H$13,'Facturas y gastos'!$A$10:$A$13,A152)/SUMIFS('Facturas y gastos'!$D$10:$D$13,'Facturas y gastos'!$A$10:$A$13,A152)))</f>
        <v>5.0774813614735734</v>
      </c>
      <c r="M152" s="8">
        <f>IF(J152="","",IF(SUMIFS('Facturas y gastos'!$D$10:$D$13,'Facturas y gastos'!$A$10:$A$13,A152)=0,"",J152*SUMIFS('Facturas y gastos'!$I$10:$I$13,'Facturas y gastos'!$A$10:$A$13,A152)/SUMIFS('Facturas y gastos'!$D$10:$D$13,'Facturas y gastos'!$A$10:$A$13,A152)))</f>
        <v>34.242874129794458</v>
      </c>
      <c r="N152" s="8">
        <f>IF(J152="","",IF(SUMIFS('Facturas y gastos'!$D$10:$D$13,'Facturas y gastos'!$A$10:$A$13,A152)=0,"",J152*SUMIFS('Facturas y gastos'!$J$10:$J$13,'Facturas y gastos'!$A$10:$A$13,A152)/SUMIFS('Facturas y gastos'!$D$10:$D$13,'Facturas y gastos'!$A$10:$A$13,A152)))</f>
        <v>0</v>
      </c>
      <c r="O152" s="8">
        <f t="shared" si="4"/>
        <v>206.87750049235768</v>
      </c>
      <c r="P152" s="8" t="str">
        <f>IF(OR(O152="",'Facturas y gastos'!$B$24="",'Facturas y gastos'!$B$45&lt;&gt;"OK",SUM($O$8:$O$657)=0),"",O152*'Facturas y gastos'!$B$43/SUM($O$8:$O$657))</f>
        <v/>
      </c>
      <c r="Q152" s="8" t="str">
        <f>IF(OR(O152="",'Facturas y gastos'!$B$5="",P152=""),"",O152*'Facturas y gastos'!$B$5+P152)</f>
        <v/>
      </c>
      <c r="R152" s="8" t="str">
        <f t="shared" si="5"/>
        <v/>
      </c>
    </row>
    <row r="153" spans="1:18">
      <c r="A153" s="25" t="s">
        <v>60</v>
      </c>
      <c r="B153" s="25">
        <v>27</v>
      </c>
      <c r="C153" s="25" t="s">
        <v>289</v>
      </c>
      <c r="D153" s="25" t="s">
        <v>285</v>
      </c>
      <c r="E153" s="25" t="s">
        <v>108</v>
      </c>
      <c r="F153" s="27">
        <v>36</v>
      </c>
      <c r="G153" s="27">
        <v>3</v>
      </c>
      <c r="H153" s="29">
        <v>4.7</v>
      </c>
      <c r="I153" s="29">
        <v>169.25</v>
      </c>
      <c r="J153" s="8">
        <f>IF(OR(A153="",I153=""),"",IF(SUMIFS($I$8:$I$657,$A$8:$A$657,A153)=0,"",I153*SUMIFS('Facturas y gastos'!$D$10:$D$13,'Facturas y gastos'!$A$10:$A$13,A153)/SUMIFS($I$8:$I$657,$A$8:$A$657,A153)))</f>
        <v>169.24965323671762</v>
      </c>
      <c r="K153" s="8">
        <f>IF(J153="","",IF(SUMIFS('Facturas y gastos'!$D$10:$D$13,'Facturas y gastos'!$A$10:$A$13,A153)=0,"",J153*SUMIFS('Facturas y gastos'!$G$10:$G$13,'Facturas y gastos'!$A$10:$A$13,A153)/SUMIFS('Facturas y gastos'!$D$10:$D$13,'Facturas y gastos'!$A$10:$A$13,A153)))</f>
        <v>1.6925082356279548</v>
      </c>
      <c r="L153" s="8">
        <f>IF(J153="","",IF(SUMIFS('Facturas y gastos'!$D$10:$D$13,'Facturas y gastos'!$A$10:$A$13,A153)=0,"",J153*SUMIFS('Facturas y gastos'!$H$10:$H$13,'Facturas y gastos'!$A$10:$A$13,A153)/SUMIFS('Facturas y gastos'!$D$10:$D$13,'Facturas y gastos'!$A$10:$A$13,A153)))</f>
        <v>5.0774813614735734</v>
      </c>
      <c r="M153" s="8">
        <f>IF(J153="","",IF(SUMIFS('Facturas y gastos'!$D$10:$D$13,'Facturas y gastos'!$A$10:$A$13,A153)=0,"",J153*SUMIFS('Facturas y gastos'!$I$10:$I$13,'Facturas y gastos'!$A$10:$A$13,A153)/SUMIFS('Facturas y gastos'!$D$10:$D$13,'Facturas y gastos'!$A$10:$A$13,A153)))</f>
        <v>34.242874129794458</v>
      </c>
      <c r="N153" s="8">
        <f>IF(J153="","",IF(SUMIFS('Facturas y gastos'!$D$10:$D$13,'Facturas y gastos'!$A$10:$A$13,A153)=0,"",J153*SUMIFS('Facturas y gastos'!$J$10:$J$13,'Facturas y gastos'!$A$10:$A$13,A153)/SUMIFS('Facturas y gastos'!$D$10:$D$13,'Facturas y gastos'!$A$10:$A$13,A153)))</f>
        <v>0</v>
      </c>
      <c r="O153" s="8">
        <f t="shared" si="4"/>
        <v>206.87750049235768</v>
      </c>
      <c r="P153" s="8" t="str">
        <f>IF(OR(O153="",'Facturas y gastos'!$B$24="",'Facturas y gastos'!$B$45&lt;&gt;"OK",SUM($O$8:$O$657)=0),"",O153*'Facturas y gastos'!$B$43/SUM($O$8:$O$657))</f>
        <v/>
      </c>
      <c r="Q153" s="8" t="str">
        <f>IF(OR(O153="",'Facturas y gastos'!$B$5="",P153=""),"",O153*'Facturas y gastos'!$B$5+P153)</f>
        <v/>
      </c>
      <c r="R153" s="8" t="str">
        <f t="shared" si="5"/>
        <v/>
      </c>
    </row>
    <row r="154" spans="1:18">
      <c r="A154" s="25" t="s">
        <v>60</v>
      </c>
      <c r="B154" s="25">
        <v>28</v>
      </c>
      <c r="C154" s="25" t="s">
        <v>290</v>
      </c>
      <c r="D154" s="25" t="s">
        <v>285</v>
      </c>
      <c r="E154" s="25" t="s">
        <v>108</v>
      </c>
      <c r="F154" s="27">
        <v>36</v>
      </c>
      <c r="G154" s="27">
        <v>3</v>
      </c>
      <c r="H154" s="29">
        <v>6.27</v>
      </c>
      <c r="I154" s="29">
        <v>225.67</v>
      </c>
      <c r="J154" s="8">
        <f>IF(OR(A154="",I154=""),"",IF(SUMIFS($I$8:$I$657,$A$8:$A$657,A154)=0,"",I154*SUMIFS('Facturas y gastos'!$D$10:$D$13,'Facturas y gastos'!$A$10:$A$13,A154)/SUMIFS($I$8:$I$657,$A$8:$A$657,A154)))</f>
        <v>225.66953764212741</v>
      </c>
      <c r="K154" s="8">
        <f>IF(J154="","",IF(SUMIFS('Facturas y gastos'!$D$10:$D$13,'Facturas y gastos'!$A$10:$A$13,A154)=0,"",J154*SUMIFS('Facturas y gastos'!$G$10:$G$13,'Facturas y gastos'!$A$10:$A$13,A154)/SUMIFS('Facturas y gastos'!$D$10:$D$13,'Facturas y gastos'!$A$10:$A$13,A154)))</f>
        <v>2.2567109809994714</v>
      </c>
      <c r="L154" s="8">
        <f>IF(J154="","",IF(SUMIFS('Facturas y gastos'!$D$10:$D$13,'Facturas y gastos'!$A$10:$A$13,A154)=0,"",J154*SUMIFS('Facturas y gastos'!$H$10:$H$13,'Facturas y gastos'!$A$10:$A$13,A154)/SUMIFS('Facturas y gastos'!$D$10:$D$13,'Facturas y gastos'!$A$10:$A$13,A154)))</f>
        <v>6.7700751482643504</v>
      </c>
      <c r="M154" s="8">
        <f>IF(J154="","",IF(SUMIFS('Facturas y gastos'!$D$10:$D$13,'Facturas y gastos'!$A$10:$A$13,A154)=0,"",J154*SUMIFS('Facturas y gastos'!$I$10:$I$13,'Facturas y gastos'!$A$10:$A$13,A154)/SUMIFS('Facturas y gastos'!$D$10:$D$13,'Facturas y gastos'!$A$10:$A$13,A154)))</f>
        <v>45.657839910609837</v>
      </c>
      <c r="N154" s="8">
        <f>IF(J154="","",IF(SUMIFS('Facturas y gastos'!$D$10:$D$13,'Facturas y gastos'!$A$10:$A$13,A154)=0,"",J154*SUMIFS('Facturas y gastos'!$J$10:$J$13,'Facturas y gastos'!$A$10:$A$13,A154)/SUMIFS('Facturas y gastos'!$D$10:$D$13,'Facturas y gastos'!$A$10:$A$13,A154)))</f>
        <v>0</v>
      </c>
      <c r="O154" s="8">
        <f t="shared" si="4"/>
        <v>275.84074172000214</v>
      </c>
      <c r="P154" s="8" t="str">
        <f>IF(OR(O154="",'Facturas y gastos'!$B$24="",'Facturas y gastos'!$B$45&lt;&gt;"OK",SUM($O$8:$O$657)=0),"",O154*'Facturas y gastos'!$B$43/SUM($O$8:$O$657))</f>
        <v/>
      </c>
      <c r="Q154" s="8" t="str">
        <f>IF(OR(O154="",'Facturas y gastos'!$B$5="",P154=""),"",O154*'Facturas y gastos'!$B$5+P154)</f>
        <v/>
      </c>
      <c r="R154" s="8" t="str">
        <f t="shared" si="5"/>
        <v/>
      </c>
    </row>
    <row r="155" spans="1:18">
      <c r="A155" s="25" t="s">
        <v>60</v>
      </c>
      <c r="B155" s="25">
        <v>29</v>
      </c>
      <c r="C155" s="25" t="s">
        <v>291</v>
      </c>
      <c r="D155" s="25" t="s">
        <v>285</v>
      </c>
      <c r="E155" s="25" t="s">
        <v>108</v>
      </c>
      <c r="F155" s="27">
        <v>36</v>
      </c>
      <c r="G155" s="27">
        <v>3</v>
      </c>
      <c r="H155" s="29">
        <v>4.24</v>
      </c>
      <c r="I155" s="29">
        <v>152.6</v>
      </c>
      <c r="J155" s="8">
        <f>IF(OR(A155="",I155=""),"",IF(SUMIFS($I$8:$I$657,$A$8:$A$657,A155)=0,"",I155*SUMIFS('Facturas y gastos'!$D$10:$D$13,'Facturas y gastos'!$A$10:$A$13,A155)/SUMIFS($I$8:$I$657,$A$8:$A$657,A155)))</f>
        <v>152.59968734961956</v>
      </c>
      <c r="K155" s="8">
        <f>IF(J155="","",IF(SUMIFS('Facturas y gastos'!$D$10:$D$13,'Facturas y gastos'!$A$10:$A$13,A155)=0,"",J155*SUMIFS('Facturas y gastos'!$G$10:$G$13,'Facturas y gastos'!$A$10:$A$13,A155)/SUMIFS('Facturas y gastos'!$D$10:$D$13,'Facturas y gastos'!$A$10:$A$13,A155)))</f>
        <v>1.5260074254465341</v>
      </c>
      <c r="L155" s="8">
        <f>IF(J155="","",IF(SUMIFS('Facturas y gastos'!$D$10:$D$13,'Facturas y gastos'!$A$10:$A$13,A155)=0,"",J155*SUMIFS('Facturas y gastos'!$H$10:$H$13,'Facturas y gastos'!$A$10:$A$13,A155)/SUMIFS('Facturas y gastos'!$D$10:$D$13,'Facturas y gastos'!$A$10:$A$13,A155)))</f>
        <v>4.5779831950420524</v>
      </c>
      <c r="M155" s="8">
        <f>IF(J155="","",IF(SUMIFS('Facturas y gastos'!$D$10:$D$13,'Facturas y gastos'!$A$10:$A$13,A155)=0,"",J155*SUMIFS('Facturas y gastos'!$I$10:$I$13,'Facturas y gastos'!$A$10:$A$13,A155)/SUMIFS('Facturas y gastos'!$D$10:$D$13,'Facturas y gastos'!$A$10:$A$13,A155)))</f>
        <v>30.87422506473639</v>
      </c>
      <c r="N155" s="8">
        <f>IF(J155="","",IF(SUMIFS('Facturas y gastos'!$D$10:$D$13,'Facturas y gastos'!$A$10:$A$13,A155)=0,"",J155*SUMIFS('Facturas y gastos'!$J$10:$J$13,'Facturas y gastos'!$A$10:$A$13,A155)/SUMIFS('Facturas y gastos'!$D$10:$D$13,'Facturas y gastos'!$A$10:$A$13,A155)))</f>
        <v>0</v>
      </c>
      <c r="O155" s="8">
        <f t="shared" si="4"/>
        <v>186.52588818395148</v>
      </c>
      <c r="P155" s="8" t="str">
        <f>IF(OR(O155="",'Facturas y gastos'!$B$24="",'Facturas y gastos'!$B$45&lt;&gt;"OK",SUM($O$8:$O$657)=0),"",O155*'Facturas y gastos'!$B$43/SUM($O$8:$O$657))</f>
        <v/>
      </c>
      <c r="Q155" s="8" t="str">
        <f>IF(OR(O155="",'Facturas y gastos'!$B$5="",P155=""),"",O155*'Facturas y gastos'!$B$5+P155)</f>
        <v/>
      </c>
      <c r="R155" s="8" t="str">
        <f t="shared" si="5"/>
        <v/>
      </c>
    </row>
    <row r="156" spans="1:18">
      <c r="A156" s="25" t="s">
        <v>60</v>
      </c>
      <c r="B156" s="25">
        <v>30</v>
      </c>
      <c r="C156" s="25" t="s">
        <v>292</v>
      </c>
      <c r="D156" s="25" t="s">
        <v>285</v>
      </c>
      <c r="E156" s="25" t="s">
        <v>108</v>
      </c>
      <c r="F156" s="27">
        <v>36</v>
      </c>
      <c r="G156" s="27">
        <v>3</v>
      </c>
      <c r="H156" s="29">
        <v>4.55</v>
      </c>
      <c r="I156" s="29">
        <v>163.88</v>
      </c>
      <c r="J156" s="8">
        <f>IF(OR(A156="",I156=""),"",IF(SUMIFS($I$8:$I$657,$A$8:$A$657,A156)=0,"",I156*SUMIFS('Facturas y gastos'!$D$10:$D$13,'Facturas y gastos'!$A$10:$A$13,A156)/SUMIFS($I$8:$I$657,$A$8:$A$657,A156)))</f>
        <v>163.87966423889679</v>
      </c>
      <c r="K156" s="8">
        <f>IF(J156="","",IF(SUMIFS('Facturas y gastos'!$D$10:$D$13,'Facturas y gastos'!$A$10:$A$13,A156)=0,"",J156*SUMIFS('Facturas y gastos'!$G$10:$G$13,'Facturas y gastos'!$A$10:$A$13,A156)/SUMIFS('Facturas y gastos'!$D$10:$D$13,'Facturas y gastos'!$A$10:$A$13,A156)))</f>
        <v>1.6388079743261992</v>
      </c>
      <c r="L156" s="8">
        <f>IF(J156="","",IF(SUMIFS('Facturas y gastos'!$D$10:$D$13,'Facturas y gastos'!$A$10:$A$13,A156)=0,"",J156*SUMIFS('Facturas y gastos'!$H$10:$H$13,'Facturas y gastos'!$A$10:$A$13,A156)/SUMIFS('Facturas y gastos'!$D$10:$D$13,'Facturas y gastos'!$A$10:$A$13,A156)))</f>
        <v>4.9163819528407045</v>
      </c>
      <c r="M156" s="8">
        <f>IF(J156="","",IF(SUMIFS('Facturas y gastos'!$D$10:$D$13,'Facturas y gastos'!$A$10:$A$13,A156)=0,"",J156*SUMIFS('Facturas y gastos'!$I$10:$I$13,'Facturas y gastos'!$A$10:$A$13,A156)/SUMIFS('Facturas y gastos'!$D$10:$D$13,'Facturas y gastos'!$A$10:$A$13,A156)))</f>
        <v>33.15640893583879</v>
      </c>
      <c r="N156" s="8">
        <f>IF(J156="","",IF(SUMIFS('Facturas y gastos'!$D$10:$D$13,'Facturas y gastos'!$A$10:$A$13,A156)=0,"",J156*SUMIFS('Facturas y gastos'!$J$10:$J$13,'Facturas y gastos'!$A$10:$A$13,A156)/SUMIFS('Facturas y gastos'!$D$10:$D$13,'Facturas y gastos'!$A$10:$A$13,A156)))</f>
        <v>0</v>
      </c>
      <c r="O156" s="8">
        <f t="shared" si="4"/>
        <v>200.31364715325009</v>
      </c>
      <c r="P156" s="8" t="str">
        <f>IF(OR(O156="",'Facturas y gastos'!$B$24="",'Facturas y gastos'!$B$45&lt;&gt;"OK",SUM($O$8:$O$657)=0),"",O156*'Facturas y gastos'!$B$43/SUM($O$8:$O$657))</f>
        <v/>
      </c>
      <c r="Q156" s="8" t="str">
        <f>IF(OR(O156="",'Facturas y gastos'!$B$5="",P156=""),"",O156*'Facturas y gastos'!$B$5+P156)</f>
        <v/>
      </c>
      <c r="R156" s="8" t="str">
        <f t="shared" si="5"/>
        <v/>
      </c>
    </row>
    <row r="157" spans="1:18">
      <c r="A157" s="25" t="s">
        <v>60</v>
      </c>
      <c r="B157" s="25">
        <v>31</v>
      </c>
      <c r="C157" s="25" t="s">
        <v>293</v>
      </c>
      <c r="D157" s="25" t="s">
        <v>285</v>
      </c>
      <c r="E157" s="25" t="s">
        <v>108</v>
      </c>
      <c r="F157" s="27">
        <v>30</v>
      </c>
      <c r="G157" s="27">
        <v>3</v>
      </c>
      <c r="H157" s="29">
        <v>4.55</v>
      </c>
      <c r="I157" s="29">
        <v>136.57</v>
      </c>
      <c r="J157" s="8">
        <f>IF(OR(A157="",I157=""),"",IF(SUMIFS($I$8:$I$657,$A$8:$A$657,A157)=0,"",I157*SUMIFS('Facturas y gastos'!$D$10:$D$13,'Facturas y gastos'!$A$10:$A$13,A157)/SUMIFS($I$8:$I$657,$A$8:$A$657,A157)))</f>
        <v>136.56972019225125</v>
      </c>
      <c r="K157" s="8">
        <f>IF(J157="","",IF(SUMIFS('Facturas y gastos'!$D$10:$D$13,'Facturas y gastos'!$A$10:$A$13,A157)=0,"",J157*SUMIFS('Facturas y gastos'!$G$10:$G$13,'Facturas y gastos'!$A$10:$A$13,A157)/SUMIFS('Facturas y gastos'!$D$10:$D$13,'Facturas y gastos'!$A$10:$A$13,A157)))</f>
        <v>1.3657066454340312</v>
      </c>
      <c r="L157" s="8">
        <f>IF(J157="","",IF(SUMIFS('Facturas y gastos'!$D$10:$D$13,'Facturas y gastos'!$A$10:$A$13,A157)=0,"",J157*SUMIFS('Facturas y gastos'!$H$10:$H$13,'Facturas y gastos'!$A$10:$A$13,A157)/SUMIFS('Facturas y gastos'!$D$10:$D$13,'Facturas y gastos'!$A$10:$A$13,A157)))</f>
        <v>4.0970849603335058</v>
      </c>
      <c r="M157" s="8">
        <f>IF(J157="","",IF(SUMIFS('Facturas y gastos'!$D$10:$D$13,'Facturas y gastos'!$A$10:$A$13,A157)=0,"",J157*SUMIFS('Facturas y gastos'!$I$10:$I$13,'Facturas y gastos'!$A$10:$A$13,A157)/SUMIFS('Facturas y gastos'!$D$10:$D$13,'Facturas y gastos'!$A$10:$A$13,A157)))</f>
        <v>27.631015184082891</v>
      </c>
      <c r="N157" s="8">
        <f>IF(J157="","",IF(SUMIFS('Facturas y gastos'!$D$10:$D$13,'Facturas y gastos'!$A$10:$A$13,A157)=0,"",J157*SUMIFS('Facturas y gastos'!$J$10:$J$13,'Facturas y gastos'!$A$10:$A$13,A157)/SUMIFS('Facturas y gastos'!$D$10:$D$13,'Facturas y gastos'!$A$10:$A$13,A157)))</f>
        <v>0</v>
      </c>
      <c r="O157" s="8">
        <f t="shared" si="4"/>
        <v>166.93211369123361</v>
      </c>
      <c r="P157" s="8" t="str">
        <f>IF(OR(O157="",'Facturas y gastos'!$B$24="",'Facturas y gastos'!$B$45&lt;&gt;"OK",SUM($O$8:$O$657)=0),"",O157*'Facturas y gastos'!$B$43/SUM($O$8:$O$657))</f>
        <v/>
      </c>
      <c r="Q157" s="8" t="str">
        <f>IF(OR(O157="",'Facturas y gastos'!$B$5="",P157=""),"",O157*'Facturas y gastos'!$B$5+P157)</f>
        <v/>
      </c>
      <c r="R157" s="8" t="str">
        <f t="shared" si="5"/>
        <v/>
      </c>
    </row>
    <row r="158" spans="1:18">
      <c r="A158" s="25" t="s">
        <v>60</v>
      </c>
      <c r="B158" s="25">
        <v>32</v>
      </c>
      <c r="C158" s="25" t="s">
        <v>294</v>
      </c>
      <c r="D158" s="25" t="s">
        <v>285</v>
      </c>
      <c r="E158" s="25" t="s">
        <v>108</v>
      </c>
      <c r="F158" s="27">
        <v>30</v>
      </c>
      <c r="G158" s="27">
        <v>3</v>
      </c>
      <c r="H158" s="29">
        <v>4.8499999999999996</v>
      </c>
      <c r="I158" s="29">
        <v>145.52000000000001</v>
      </c>
      <c r="J158" s="8">
        <f>IF(OR(A158="",I158=""),"",IF(SUMIFS($I$8:$I$657,$A$8:$A$657,A158)=0,"",I158*SUMIFS('Facturas y gastos'!$D$10:$D$13,'Facturas y gastos'!$A$10:$A$13,A158)/SUMIFS($I$8:$I$657,$A$8:$A$657,A158)))</f>
        <v>145.51970185528597</v>
      </c>
      <c r="K158" s="8">
        <f>IF(J158="","",IF(SUMIFS('Facturas y gastos'!$D$10:$D$13,'Facturas y gastos'!$A$10:$A$13,A158)=0,"",J158*SUMIFS('Facturas y gastos'!$G$10:$G$13,'Facturas y gastos'!$A$10:$A$13,A158)/SUMIFS('Facturas y gastos'!$D$10:$D$13,'Facturas y gastos'!$A$10:$A$13,A158)))</f>
        <v>1.4552070809369573</v>
      </c>
      <c r="L158" s="8">
        <f>IF(J158="","",IF(SUMIFS('Facturas y gastos'!$D$10:$D$13,'Facturas y gastos'!$A$10:$A$13,A158)=0,"",J158*SUMIFS('Facturas y gastos'!$H$10:$H$13,'Facturas y gastos'!$A$10:$A$13,A158)/SUMIFS('Facturas y gastos'!$D$10:$D$13,'Facturas y gastos'!$A$10:$A$13,A158)))</f>
        <v>4.3655839747216216</v>
      </c>
      <c r="M158" s="8">
        <f>IF(J158="","",IF(SUMIFS('Facturas y gastos'!$D$10:$D$13,'Facturas y gastos'!$A$10:$A$13,A158)=0,"",J158*SUMIFS('Facturas y gastos'!$I$10:$I$13,'Facturas y gastos'!$A$10:$A$13,A158)/SUMIFS('Facturas y gastos'!$D$10:$D$13,'Facturas y gastos'!$A$10:$A$13,A158)))</f>
        <v>29.441790507342333</v>
      </c>
      <c r="N158" s="8">
        <f>IF(J158="","",IF(SUMIFS('Facturas y gastos'!$D$10:$D$13,'Facturas y gastos'!$A$10:$A$13,A158)=0,"",J158*SUMIFS('Facturas y gastos'!$J$10:$J$13,'Facturas y gastos'!$A$10:$A$13,A158)/SUMIFS('Facturas y gastos'!$D$10:$D$13,'Facturas y gastos'!$A$10:$A$13,A158)))</f>
        <v>0</v>
      </c>
      <c r="O158" s="8">
        <f t="shared" si="4"/>
        <v>177.87186925641299</v>
      </c>
      <c r="P158" s="8" t="str">
        <f>IF(OR(O158="",'Facturas y gastos'!$B$24="",'Facturas y gastos'!$B$45&lt;&gt;"OK",SUM($O$8:$O$657)=0),"",O158*'Facturas y gastos'!$B$43/SUM($O$8:$O$657))</f>
        <v/>
      </c>
      <c r="Q158" s="8" t="str">
        <f>IF(OR(O158="",'Facturas y gastos'!$B$5="",P158=""),"",O158*'Facturas y gastos'!$B$5+P158)</f>
        <v/>
      </c>
      <c r="R158" s="8" t="str">
        <f t="shared" si="5"/>
        <v/>
      </c>
    </row>
    <row r="159" spans="1:18">
      <c r="A159" s="25" t="s">
        <v>60</v>
      </c>
      <c r="B159" s="25">
        <v>33</v>
      </c>
      <c r="C159" s="25" t="s">
        <v>295</v>
      </c>
      <c r="D159" s="25" t="s">
        <v>118</v>
      </c>
      <c r="E159" s="25" t="s">
        <v>108</v>
      </c>
      <c r="F159" s="27">
        <v>192</v>
      </c>
      <c r="G159" s="27">
        <v>12</v>
      </c>
      <c r="H159" s="29">
        <v>5.82</v>
      </c>
      <c r="I159" s="29">
        <v>1117.44</v>
      </c>
      <c r="J159" s="8">
        <f>IF(OR(A159="",I159=""),"",IF(SUMIFS($I$8:$I$657,$A$8:$A$657,A159)=0,"",I159*SUMIFS('Facturas y gastos'!$D$10:$D$13,'Facturas y gastos'!$A$10:$A$13,A159)/SUMIFS($I$8:$I$657,$A$8:$A$657,A159)))</f>
        <v>1117.4377105632955</v>
      </c>
      <c r="K159" s="8">
        <f>IF(J159="","",IF(SUMIFS('Facturas y gastos'!$D$10:$D$13,'Facturas y gastos'!$A$10:$A$13,A159)=0,"",J159*SUMIFS('Facturas y gastos'!$G$10:$G$13,'Facturas y gastos'!$A$10:$A$13,A159)/SUMIFS('Facturas y gastos'!$D$10:$D$13,'Facturas y gastos'!$A$10:$A$13,A159)))</f>
        <v>11.174454374121725</v>
      </c>
      <c r="L159" s="8">
        <f>IF(J159="","",IF(SUMIFS('Facturas y gastos'!$D$10:$D$13,'Facturas y gastos'!$A$10:$A$13,A159)=0,"",J159*SUMIFS('Facturas y gastos'!$H$10:$H$13,'Facturas y gastos'!$A$10:$A$13,A159)/SUMIFS('Facturas y gastos'!$D$10:$D$13,'Facturas y gastos'!$A$10:$A$13,A159)))</f>
        <v>33.523076942777138</v>
      </c>
      <c r="M159" s="8">
        <f>IF(J159="","",IF(SUMIFS('Facturas y gastos'!$D$10:$D$13,'Facturas y gastos'!$A$10:$A$13,A159)=0,"",J159*SUMIFS('Facturas y gastos'!$I$10:$I$13,'Facturas y gastos'!$A$10:$A$13,A159)/SUMIFS('Facturas y gastos'!$D$10:$D$13,'Facturas y gastos'!$A$10:$A$13,A159)))</f>
        <v>226.08187455005921</v>
      </c>
      <c r="N159" s="8">
        <f>IF(J159="","",IF(SUMIFS('Facturas y gastos'!$D$10:$D$13,'Facturas y gastos'!$A$10:$A$13,A159)=0,"",J159*SUMIFS('Facturas y gastos'!$J$10:$J$13,'Facturas y gastos'!$A$10:$A$13,A159)/SUMIFS('Facturas y gastos'!$D$10:$D$13,'Facturas y gastos'!$A$10:$A$13,A159)))</f>
        <v>0</v>
      </c>
      <c r="O159" s="8">
        <f t="shared" si="4"/>
        <v>1365.8682076820101</v>
      </c>
      <c r="P159" s="8" t="str">
        <f>IF(OR(O159="",'Facturas y gastos'!$B$24="",'Facturas y gastos'!$B$45&lt;&gt;"OK",SUM($O$8:$O$657)=0),"",O159*'Facturas y gastos'!$B$43/SUM($O$8:$O$657))</f>
        <v/>
      </c>
      <c r="Q159" s="8" t="str">
        <f>IF(OR(O159="",'Facturas y gastos'!$B$5="",P159=""),"",O159*'Facturas y gastos'!$B$5+P159)</f>
        <v/>
      </c>
      <c r="R159" s="8" t="str">
        <f t="shared" si="5"/>
        <v/>
      </c>
    </row>
    <row r="160" spans="1:18">
      <c r="A160" s="25" t="s">
        <v>60</v>
      </c>
      <c r="B160" s="25">
        <v>34</v>
      </c>
      <c r="C160" s="25" t="s">
        <v>296</v>
      </c>
      <c r="D160" s="25" t="s">
        <v>118</v>
      </c>
      <c r="E160" s="25" t="s">
        <v>108</v>
      </c>
      <c r="F160" s="27">
        <v>192</v>
      </c>
      <c r="G160" s="27">
        <v>12</v>
      </c>
      <c r="H160" s="29">
        <v>5.82</v>
      </c>
      <c r="I160" s="29">
        <v>1117.44</v>
      </c>
      <c r="J160" s="8">
        <f>IF(OR(A160="",I160=""),"",IF(SUMIFS($I$8:$I$657,$A$8:$A$657,A160)=0,"",I160*SUMIFS('Facturas y gastos'!$D$10:$D$13,'Facturas y gastos'!$A$10:$A$13,A160)/SUMIFS($I$8:$I$657,$A$8:$A$657,A160)))</f>
        <v>1117.4377105632955</v>
      </c>
      <c r="K160" s="8">
        <f>IF(J160="","",IF(SUMIFS('Facturas y gastos'!$D$10:$D$13,'Facturas y gastos'!$A$10:$A$13,A160)=0,"",J160*SUMIFS('Facturas y gastos'!$G$10:$G$13,'Facturas y gastos'!$A$10:$A$13,A160)/SUMIFS('Facturas y gastos'!$D$10:$D$13,'Facturas y gastos'!$A$10:$A$13,A160)))</f>
        <v>11.174454374121725</v>
      </c>
      <c r="L160" s="8">
        <f>IF(J160="","",IF(SUMIFS('Facturas y gastos'!$D$10:$D$13,'Facturas y gastos'!$A$10:$A$13,A160)=0,"",J160*SUMIFS('Facturas y gastos'!$H$10:$H$13,'Facturas y gastos'!$A$10:$A$13,A160)/SUMIFS('Facturas y gastos'!$D$10:$D$13,'Facturas y gastos'!$A$10:$A$13,A160)))</f>
        <v>33.523076942777138</v>
      </c>
      <c r="M160" s="8">
        <f>IF(J160="","",IF(SUMIFS('Facturas y gastos'!$D$10:$D$13,'Facturas y gastos'!$A$10:$A$13,A160)=0,"",J160*SUMIFS('Facturas y gastos'!$I$10:$I$13,'Facturas y gastos'!$A$10:$A$13,A160)/SUMIFS('Facturas y gastos'!$D$10:$D$13,'Facturas y gastos'!$A$10:$A$13,A160)))</f>
        <v>226.08187455005921</v>
      </c>
      <c r="N160" s="8">
        <f>IF(J160="","",IF(SUMIFS('Facturas y gastos'!$D$10:$D$13,'Facturas y gastos'!$A$10:$A$13,A160)=0,"",J160*SUMIFS('Facturas y gastos'!$J$10:$J$13,'Facturas y gastos'!$A$10:$A$13,A160)/SUMIFS('Facturas y gastos'!$D$10:$D$13,'Facturas y gastos'!$A$10:$A$13,A160)))</f>
        <v>0</v>
      </c>
      <c r="O160" s="8">
        <f t="shared" si="4"/>
        <v>1365.8682076820101</v>
      </c>
      <c r="P160" s="8" t="str">
        <f>IF(OR(O160="",'Facturas y gastos'!$B$24="",'Facturas y gastos'!$B$45&lt;&gt;"OK",SUM($O$8:$O$657)=0),"",O160*'Facturas y gastos'!$B$43/SUM($O$8:$O$657))</f>
        <v/>
      </c>
      <c r="Q160" s="8" t="str">
        <f>IF(OR(O160="",'Facturas y gastos'!$B$5="",P160=""),"",O160*'Facturas y gastos'!$B$5+P160)</f>
        <v/>
      </c>
      <c r="R160" s="8" t="str">
        <f t="shared" si="5"/>
        <v/>
      </c>
    </row>
    <row r="161" spans="1:18">
      <c r="A161" s="25" t="s">
        <v>60</v>
      </c>
      <c r="B161" s="25">
        <v>35</v>
      </c>
      <c r="C161" s="25" t="s">
        <v>297</v>
      </c>
      <c r="D161" s="25" t="s">
        <v>118</v>
      </c>
      <c r="E161" s="25" t="s">
        <v>108</v>
      </c>
      <c r="F161" s="27">
        <v>96</v>
      </c>
      <c r="G161" s="27">
        <v>8</v>
      </c>
      <c r="H161" s="29">
        <v>6.76</v>
      </c>
      <c r="I161" s="29">
        <v>648.96</v>
      </c>
      <c r="J161" s="8">
        <f>IF(OR(A161="",I161=""),"",IF(SUMIFS($I$8:$I$657,$A$8:$A$657,A161)=0,"",I161*SUMIFS('Facturas y gastos'!$D$10:$D$13,'Facturas y gastos'!$A$10:$A$13,A161)/SUMIFS($I$8:$I$657,$A$8:$A$657,A161)))</f>
        <v>648.95867039586585</v>
      </c>
      <c r="K161" s="8">
        <f>IF(J161="","",IF(SUMIFS('Facturas y gastos'!$D$10:$D$13,'Facturas y gastos'!$A$10:$A$13,A161)=0,"",J161*SUMIFS('Facturas y gastos'!$G$10:$G$13,'Facturas y gastos'!$A$10:$A$13,A161)/SUMIFS('Facturas y gastos'!$D$10:$D$13,'Facturas y gastos'!$A$10:$A$13,A161)))</f>
        <v>6.4896315780981846</v>
      </c>
      <c r="L161" s="8">
        <f>IF(J161="","",IF(SUMIFS('Facturas y gastos'!$D$10:$D$13,'Facturas y gastos'!$A$10:$A$13,A161)=0,"",J161*SUMIFS('Facturas y gastos'!$H$10:$H$13,'Facturas y gastos'!$A$10:$A$13,A161)/SUMIFS('Facturas y gastos'!$D$10:$D$13,'Facturas y gastos'!$A$10:$A$13,A161)))</f>
        <v>19.468728533777789</v>
      </c>
      <c r="M161" s="8">
        <f>IF(J161="","",IF(SUMIFS('Facturas y gastos'!$D$10:$D$13,'Facturas y gastos'!$A$10:$A$13,A161)=0,"",J161*SUMIFS('Facturas y gastos'!$I$10:$I$13,'Facturas y gastos'!$A$10:$A$13,A161)/SUMIFS('Facturas y gastos'!$D$10:$D$13,'Facturas y gastos'!$A$10:$A$13,A161)))</f>
        <v>131.29840824384883</v>
      </c>
      <c r="N161" s="8">
        <f>IF(J161="","",IF(SUMIFS('Facturas y gastos'!$D$10:$D$13,'Facturas y gastos'!$A$10:$A$13,A161)=0,"",J161*SUMIFS('Facturas y gastos'!$J$10:$J$13,'Facturas y gastos'!$A$10:$A$13,A161)/SUMIFS('Facturas y gastos'!$D$10:$D$13,'Facturas y gastos'!$A$10:$A$13,A161)))</f>
        <v>0</v>
      </c>
      <c r="O161" s="8">
        <f t="shared" si="4"/>
        <v>793.23617559539434</v>
      </c>
      <c r="P161" s="8" t="str">
        <f>IF(OR(O161="",'Facturas y gastos'!$B$24="",'Facturas y gastos'!$B$45&lt;&gt;"OK",SUM($O$8:$O$657)=0),"",O161*'Facturas y gastos'!$B$43/SUM($O$8:$O$657))</f>
        <v/>
      </c>
      <c r="Q161" s="8" t="str">
        <f>IF(OR(O161="",'Facturas y gastos'!$B$5="",P161=""),"",O161*'Facturas y gastos'!$B$5+P161)</f>
        <v/>
      </c>
      <c r="R161" s="8" t="str">
        <f t="shared" si="5"/>
        <v/>
      </c>
    </row>
    <row r="162" spans="1:18">
      <c r="A162" s="25" t="s">
        <v>60</v>
      </c>
      <c r="B162" s="25">
        <v>36</v>
      </c>
      <c r="C162" s="25" t="s">
        <v>298</v>
      </c>
      <c r="D162" s="25" t="s">
        <v>118</v>
      </c>
      <c r="E162" s="25" t="s">
        <v>108</v>
      </c>
      <c r="F162" s="27">
        <v>96</v>
      </c>
      <c r="G162" s="27">
        <v>8</v>
      </c>
      <c r="H162" s="29">
        <v>6.76</v>
      </c>
      <c r="I162" s="29">
        <v>648.96</v>
      </c>
      <c r="J162" s="8">
        <f>IF(OR(A162="",I162=""),"",IF(SUMIFS($I$8:$I$657,$A$8:$A$657,A162)=0,"",I162*SUMIFS('Facturas y gastos'!$D$10:$D$13,'Facturas y gastos'!$A$10:$A$13,A162)/SUMIFS($I$8:$I$657,$A$8:$A$657,A162)))</f>
        <v>648.95867039586585</v>
      </c>
      <c r="K162" s="8">
        <f>IF(J162="","",IF(SUMIFS('Facturas y gastos'!$D$10:$D$13,'Facturas y gastos'!$A$10:$A$13,A162)=0,"",J162*SUMIFS('Facturas y gastos'!$G$10:$G$13,'Facturas y gastos'!$A$10:$A$13,A162)/SUMIFS('Facturas y gastos'!$D$10:$D$13,'Facturas y gastos'!$A$10:$A$13,A162)))</f>
        <v>6.4896315780981846</v>
      </c>
      <c r="L162" s="8">
        <f>IF(J162="","",IF(SUMIFS('Facturas y gastos'!$D$10:$D$13,'Facturas y gastos'!$A$10:$A$13,A162)=0,"",J162*SUMIFS('Facturas y gastos'!$H$10:$H$13,'Facturas y gastos'!$A$10:$A$13,A162)/SUMIFS('Facturas y gastos'!$D$10:$D$13,'Facturas y gastos'!$A$10:$A$13,A162)))</f>
        <v>19.468728533777789</v>
      </c>
      <c r="M162" s="8">
        <f>IF(J162="","",IF(SUMIFS('Facturas y gastos'!$D$10:$D$13,'Facturas y gastos'!$A$10:$A$13,A162)=0,"",J162*SUMIFS('Facturas y gastos'!$I$10:$I$13,'Facturas y gastos'!$A$10:$A$13,A162)/SUMIFS('Facturas y gastos'!$D$10:$D$13,'Facturas y gastos'!$A$10:$A$13,A162)))</f>
        <v>131.29840824384883</v>
      </c>
      <c r="N162" s="8">
        <f>IF(J162="","",IF(SUMIFS('Facturas y gastos'!$D$10:$D$13,'Facturas y gastos'!$A$10:$A$13,A162)=0,"",J162*SUMIFS('Facturas y gastos'!$J$10:$J$13,'Facturas y gastos'!$A$10:$A$13,A162)/SUMIFS('Facturas y gastos'!$D$10:$D$13,'Facturas y gastos'!$A$10:$A$13,A162)))</f>
        <v>0</v>
      </c>
      <c r="O162" s="8">
        <f t="shared" si="4"/>
        <v>793.23617559539434</v>
      </c>
      <c r="P162" s="8" t="str">
        <f>IF(OR(O162="",'Facturas y gastos'!$B$24="",'Facturas y gastos'!$B$45&lt;&gt;"OK",SUM($O$8:$O$657)=0),"",O162*'Facturas y gastos'!$B$43/SUM($O$8:$O$657))</f>
        <v/>
      </c>
      <c r="Q162" s="8" t="str">
        <f>IF(OR(O162="",'Facturas y gastos'!$B$5="",P162=""),"",O162*'Facturas y gastos'!$B$5+P162)</f>
        <v/>
      </c>
      <c r="R162" s="8" t="str">
        <f t="shared" si="5"/>
        <v/>
      </c>
    </row>
    <row r="163" spans="1:18">
      <c r="A163" s="25" t="s">
        <v>60</v>
      </c>
      <c r="B163" s="25">
        <v>37</v>
      </c>
      <c r="C163" s="25" t="s">
        <v>299</v>
      </c>
      <c r="D163" s="25" t="s">
        <v>118</v>
      </c>
      <c r="E163" s="25" t="s">
        <v>108</v>
      </c>
      <c r="F163" s="27">
        <v>42</v>
      </c>
      <c r="G163" s="27">
        <v>7</v>
      </c>
      <c r="H163" s="29">
        <v>12.26</v>
      </c>
      <c r="I163" s="29">
        <v>514.91999999999996</v>
      </c>
      <c r="J163" s="8">
        <f>IF(OR(A163="",I163=""),"",IF(SUMIFS($I$8:$I$657,$A$8:$A$657,A163)=0,"",I163*SUMIFS('Facturas y gastos'!$D$10:$D$13,'Facturas y gastos'!$A$10:$A$13,A163)/SUMIFS($I$8:$I$657,$A$8:$A$657,A163)))</f>
        <v>514.91894502009245</v>
      </c>
      <c r="K163" s="8">
        <f>IF(J163="","",IF(SUMIFS('Facturas y gastos'!$D$10:$D$13,'Facturas y gastos'!$A$10:$A$13,A163)=0,"",J163*SUMIFS('Facturas y gastos'!$G$10:$G$13,'Facturas y gastos'!$A$10:$A$13,A163)/SUMIFS('Facturas y gastos'!$D$10:$D$13,'Facturas y gastos'!$A$10:$A$13,A163)))</f>
        <v>5.149225055772801</v>
      </c>
      <c r="L163" s="8">
        <f>IF(J163="","",IF(SUMIFS('Facturas y gastos'!$D$10:$D$13,'Facturas y gastos'!$A$10:$A$13,A163)=0,"",J163*SUMIFS('Facturas y gastos'!$H$10:$H$13,'Facturas y gastos'!$A$10:$A$13,A163)/SUMIFS('Facturas y gastos'!$D$10:$D$13,'Facturas y gastos'!$A$10:$A$13,A163)))</f>
        <v>15.447543294829972</v>
      </c>
      <c r="M163" s="8">
        <f>IF(J163="","",IF(SUMIFS('Facturas y gastos'!$D$10:$D$13,'Facturas y gastos'!$A$10:$A$13,A163)=0,"",J163*SUMIFS('Facturas y gastos'!$I$10:$I$13,'Facturas y gastos'!$A$10:$A$13,A163)/SUMIFS('Facturas y gastos'!$D$10:$D$13,'Facturas y gastos'!$A$10:$A$13,A163)))</f>
        <v>104.17926586064263</v>
      </c>
      <c r="N163" s="8">
        <f>IF(J163="","",IF(SUMIFS('Facturas y gastos'!$D$10:$D$13,'Facturas y gastos'!$A$10:$A$13,A163)=0,"",J163*SUMIFS('Facturas y gastos'!$J$10:$J$13,'Facturas y gastos'!$A$10:$A$13,A163)/SUMIFS('Facturas y gastos'!$D$10:$D$13,'Facturas y gastos'!$A$10:$A$13,A163)))</f>
        <v>0</v>
      </c>
      <c r="O163" s="8">
        <f t="shared" si="4"/>
        <v>629.39652911979226</v>
      </c>
      <c r="P163" s="8" t="str">
        <f>IF(OR(O163="",'Facturas y gastos'!$B$24="",'Facturas y gastos'!$B$45&lt;&gt;"OK",SUM($O$8:$O$657)=0),"",O163*'Facturas y gastos'!$B$43/SUM($O$8:$O$657))</f>
        <v/>
      </c>
      <c r="Q163" s="8" t="str">
        <f>IF(OR(O163="",'Facturas y gastos'!$B$5="",P163=""),"",O163*'Facturas y gastos'!$B$5+P163)</f>
        <v/>
      </c>
      <c r="R163" s="8" t="str">
        <f t="shared" si="5"/>
        <v/>
      </c>
    </row>
    <row r="164" spans="1:18">
      <c r="A164" s="25" t="s">
        <v>60</v>
      </c>
      <c r="B164" s="25">
        <v>38</v>
      </c>
      <c r="C164" s="25" t="s">
        <v>300</v>
      </c>
      <c r="D164" s="25" t="s">
        <v>118</v>
      </c>
      <c r="E164" s="25" t="s">
        <v>108</v>
      </c>
      <c r="F164" s="27">
        <v>42</v>
      </c>
      <c r="G164" s="27">
        <v>7</v>
      </c>
      <c r="H164" s="29">
        <v>12.26</v>
      </c>
      <c r="I164" s="29">
        <v>514.91999999999996</v>
      </c>
      <c r="J164" s="8">
        <f>IF(OR(A164="",I164=""),"",IF(SUMIFS($I$8:$I$657,$A$8:$A$657,A164)=0,"",I164*SUMIFS('Facturas y gastos'!$D$10:$D$13,'Facturas y gastos'!$A$10:$A$13,A164)/SUMIFS($I$8:$I$657,$A$8:$A$657,A164)))</f>
        <v>514.91894502009245</v>
      </c>
      <c r="K164" s="8">
        <f>IF(J164="","",IF(SUMIFS('Facturas y gastos'!$D$10:$D$13,'Facturas y gastos'!$A$10:$A$13,A164)=0,"",J164*SUMIFS('Facturas y gastos'!$G$10:$G$13,'Facturas y gastos'!$A$10:$A$13,A164)/SUMIFS('Facturas y gastos'!$D$10:$D$13,'Facturas y gastos'!$A$10:$A$13,A164)))</f>
        <v>5.149225055772801</v>
      </c>
      <c r="L164" s="8">
        <f>IF(J164="","",IF(SUMIFS('Facturas y gastos'!$D$10:$D$13,'Facturas y gastos'!$A$10:$A$13,A164)=0,"",J164*SUMIFS('Facturas y gastos'!$H$10:$H$13,'Facturas y gastos'!$A$10:$A$13,A164)/SUMIFS('Facturas y gastos'!$D$10:$D$13,'Facturas y gastos'!$A$10:$A$13,A164)))</f>
        <v>15.447543294829972</v>
      </c>
      <c r="M164" s="8">
        <f>IF(J164="","",IF(SUMIFS('Facturas y gastos'!$D$10:$D$13,'Facturas y gastos'!$A$10:$A$13,A164)=0,"",J164*SUMIFS('Facturas y gastos'!$I$10:$I$13,'Facturas y gastos'!$A$10:$A$13,A164)/SUMIFS('Facturas y gastos'!$D$10:$D$13,'Facturas y gastos'!$A$10:$A$13,A164)))</f>
        <v>104.17926586064263</v>
      </c>
      <c r="N164" s="8">
        <f>IF(J164="","",IF(SUMIFS('Facturas y gastos'!$D$10:$D$13,'Facturas y gastos'!$A$10:$A$13,A164)=0,"",J164*SUMIFS('Facturas y gastos'!$J$10:$J$13,'Facturas y gastos'!$A$10:$A$13,A164)/SUMIFS('Facturas y gastos'!$D$10:$D$13,'Facturas y gastos'!$A$10:$A$13,A164)))</f>
        <v>0</v>
      </c>
      <c r="O164" s="8">
        <f t="shared" si="4"/>
        <v>629.39652911979226</v>
      </c>
      <c r="P164" s="8" t="str">
        <f>IF(OR(O164="",'Facturas y gastos'!$B$24="",'Facturas y gastos'!$B$45&lt;&gt;"OK",SUM($O$8:$O$657)=0),"",O164*'Facturas y gastos'!$B$43/SUM($O$8:$O$657))</f>
        <v/>
      </c>
      <c r="Q164" s="8" t="str">
        <f>IF(OR(O164="",'Facturas y gastos'!$B$5="",P164=""),"",O164*'Facturas y gastos'!$B$5+P164)</f>
        <v/>
      </c>
      <c r="R164" s="8" t="str">
        <f t="shared" si="5"/>
        <v/>
      </c>
    </row>
    <row r="165" spans="1:18">
      <c r="A165" s="25" t="s">
        <v>60</v>
      </c>
      <c r="B165" s="25">
        <v>39</v>
      </c>
      <c r="C165" s="25" t="s">
        <v>301</v>
      </c>
      <c r="D165" s="25" t="s">
        <v>302</v>
      </c>
      <c r="E165" s="25" t="s">
        <v>108</v>
      </c>
      <c r="F165" s="27">
        <v>72</v>
      </c>
      <c r="G165" s="27">
        <v>3</v>
      </c>
      <c r="H165" s="29">
        <v>1.57</v>
      </c>
      <c r="I165" s="29">
        <v>112.84</v>
      </c>
      <c r="J165" s="8">
        <f>IF(OR(A165="",I165=""),"",IF(SUMIFS($I$8:$I$657,$A$8:$A$657,A165)=0,"",I165*SUMIFS('Facturas y gastos'!$D$10:$D$13,'Facturas y gastos'!$A$10:$A$13,A165)/SUMIFS($I$8:$I$657,$A$8:$A$657,A165)))</f>
        <v>112.83976881081962</v>
      </c>
      <c r="K165" s="8">
        <f>IF(J165="","",IF(SUMIFS('Facturas y gastos'!$D$10:$D$13,'Facturas y gastos'!$A$10:$A$13,A165)=0,"",J165*SUMIFS('Facturas y gastos'!$G$10:$G$13,'Facturas y gastos'!$A$10:$A$13,A165)/SUMIFS('Facturas y gastos'!$D$10:$D$13,'Facturas y gastos'!$A$10:$A$13,A165)))</f>
        <v>1.1284054907430336</v>
      </c>
      <c r="L165" s="8">
        <f>IF(J165="","",IF(SUMIFS('Facturas y gastos'!$D$10:$D$13,'Facturas y gastos'!$A$10:$A$13,A165)=0,"",J165*SUMIFS('Facturas y gastos'!$H$10:$H$13,'Facturas y gastos'!$A$10:$A$13,A165)/SUMIFS('Facturas y gastos'!$D$10:$D$13,'Facturas y gastos'!$A$10:$A$13,A165)))</f>
        <v>3.3851875735815549</v>
      </c>
      <c r="M165" s="8">
        <f>IF(J165="","",IF(SUMIFS('Facturas y gastos'!$D$10:$D$13,'Facturas y gastos'!$A$10:$A$13,A165)=0,"",J165*SUMIFS('Facturas y gastos'!$I$10:$I$13,'Facturas y gastos'!$A$10:$A$13,A165)/SUMIFS('Facturas y gastos'!$D$10:$D$13,'Facturas y gastos'!$A$10:$A$13,A165)))</f>
        <v>22.829931561630769</v>
      </c>
      <c r="N165" s="8">
        <f>IF(J165="","",IF(SUMIFS('Facturas y gastos'!$D$10:$D$13,'Facturas y gastos'!$A$10:$A$13,A165)=0,"",J165*SUMIFS('Facturas y gastos'!$J$10:$J$13,'Facturas y gastos'!$A$10:$A$13,A165)/SUMIFS('Facturas y gastos'!$D$10:$D$13,'Facturas y gastos'!$A$10:$A$13,A165)))</f>
        <v>0</v>
      </c>
      <c r="O165" s="8">
        <f t="shared" si="4"/>
        <v>137.92648245528892</v>
      </c>
      <c r="P165" s="8" t="str">
        <f>IF(OR(O165="",'Facturas y gastos'!$B$24="",'Facturas y gastos'!$B$45&lt;&gt;"OK",SUM($O$8:$O$657)=0),"",O165*'Facturas y gastos'!$B$43/SUM($O$8:$O$657))</f>
        <v/>
      </c>
      <c r="Q165" s="8" t="str">
        <f>IF(OR(O165="",'Facturas y gastos'!$B$5="",P165=""),"",O165*'Facturas y gastos'!$B$5+P165)</f>
        <v/>
      </c>
      <c r="R165" s="8" t="str">
        <f t="shared" si="5"/>
        <v/>
      </c>
    </row>
    <row r="166" spans="1:18">
      <c r="A166" s="25" t="s">
        <v>60</v>
      </c>
      <c r="B166" s="25">
        <v>40</v>
      </c>
      <c r="C166" s="25" t="s">
        <v>303</v>
      </c>
      <c r="D166" s="25" t="s">
        <v>302</v>
      </c>
      <c r="E166" s="25" t="s">
        <v>108</v>
      </c>
      <c r="F166" s="27">
        <v>120</v>
      </c>
      <c r="G166" s="27">
        <v>3</v>
      </c>
      <c r="H166" s="29">
        <v>1.07</v>
      </c>
      <c r="I166" s="29">
        <v>127.88</v>
      </c>
      <c r="J166" s="8">
        <f>IF(OR(A166="",I166=""),"",IF(SUMIFS($I$8:$I$657,$A$8:$A$657,A166)=0,"",I166*SUMIFS('Facturas y gastos'!$D$10:$D$13,'Facturas y gastos'!$A$10:$A$13,A166)/SUMIFS($I$8:$I$657,$A$8:$A$657,A166)))</f>
        <v>127.87973799652261</v>
      </c>
      <c r="K166" s="8">
        <f>IF(J166="","",IF(SUMIFS('Facturas y gastos'!$D$10:$D$13,'Facturas y gastos'!$A$10:$A$13,A166)=0,"",J166*SUMIFS('Facturas y gastos'!$G$10:$G$13,'Facturas y gastos'!$A$10:$A$13,A166)/SUMIFS('Facturas y gastos'!$D$10:$D$13,'Facturas y gastos'!$A$10:$A$13,A166)))</f>
        <v>1.2788062225825871</v>
      </c>
      <c r="L166" s="8">
        <f>IF(J166="","",IF(SUMIFS('Facturas y gastos'!$D$10:$D$13,'Facturas y gastos'!$A$10:$A$13,A166)=0,"",J166*SUMIFS('Facturas y gastos'!$H$10:$H$13,'Facturas y gastos'!$A$10:$A$13,A166)/SUMIFS('Facturas y gastos'!$D$10:$D$13,'Facturas y gastos'!$A$10:$A$13,A166)))</f>
        <v>3.8363859173130908</v>
      </c>
      <c r="M166" s="8">
        <f>IF(J166="","",IF(SUMIFS('Facturas y gastos'!$D$10:$D$13,'Facturas y gastos'!$A$10:$A$13,A166)=0,"",J166*SUMIFS('Facturas y gastos'!$I$10:$I$13,'Facturas y gastos'!$A$10:$A$13,A166)/SUMIFS('Facturas y gastos'!$D$10:$D$13,'Facturas y gastos'!$A$10:$A$13,A166)))</f>
        <v>25.872843389767301</v>
      </c>
      <c r="N166" s="8">
        <f>IF(J166="","",IF(SUMIFS('Facturas y gastos'!$D$10:$D$13,'Facturas y gastos'!$A$10:$A$13,A166)=0,"",J166*SUMIFS('Facturas y gastos'!$J$10:$J$13,'Facturas y gastos'!$A$10:$A$13,A166)/SUMIFS('Facturas y gastos'!$D$10:$D$13,'Facturas y gastos'!$A$10:$A$13,A166)))</f>
        <v>0</v>
      </c>
      <c r="O166" s="8">
        <f t="shared" si="4"/>
        <v>156.3101610810204</v>
      </c>
      <c r="P166" s="8" t="str">
        <f>IF(OR(O166="",'Facturas y gastos'!$B$24="",'Facturas y gastos'!$B$45&lt;&gt;"OK",SUM($O$8:$O$657)=0),"",O166*'Facturas y gastos'!$B$43/SUM($O$8:$O$657))</f>
        <v/>
      </c>
      <c r="Q166" s="8" t="str">
        <f>IF(OR(O166="",'Facturas y gastos'!$B$5="",P166=""),"",O166*'Facturas y gastos'!$B$5+P166)</f>
        <v/>
      </c>
      <c r="R166" s="8" t="str">
        <f t="shared" si="5"/>
        <v/>
      </c>
    </row>
    <row r="167" spans="1:18">
      <c r="A167" s="25" t="s">
        <v>60</v>
      </c>
      <c r="B167" s="25">
        <v>41</v>
      </c>
      <c r="C167" s="25" t="s">
        <v>304</v>
      </c>
      <c r="D167" s="25" t="s">
        <v>302</v>
      </c>
      <c r="E167" s="25" t="s">
        <v>108</v>
      </c>
      <c r="F167" s="27">
        <v>120</v>
      </c>
      <c r="G167" s="27">
        <v>3</v>
      </c>
      <c r="H167" s="29">
        <v>1.07</v>
      </c>
      <c r="I167" s="29">
        <v>127.88</v>
      </c>
      <c r="J167" s="8">
        <f>IF(OR(A167="",I167=""),"",IF(SUMIFS($I$8:$I$657,$A$8:$A$657,A167)=0,"",I167*SUMIFS('Facturas y gastos'!$D$10:$D$13,'Facturas y gastos'!$A$10:$A$13,A167)/SUMIFS($I$8:$I$657,$A$8:$A$657,A167)))</f>
        <v>127.87973799652261</v>
      </c>
      <c r="K167" s="8">
        <f>IF(J167="","",IF(SUMIFS('Facturas y gastos'!$D$10:$D$13,'Facturas y gastos'!$A$10:$A$13,A167)=0,"",J167*SUMIFS('Facturas y gastos'!$G$10:$G$13,'Facturas y gastos'!$A$10:$A$13,A167)/SUMIFS('Facturas y gastos'!$D$10:$D$13,'Facturas y gastos'!$A$10:$A$13,A167)))</f>
        <v>1.2788062225825871</v>
      </c>
      <c r="L167" s="8">
        <f>IF(J167="","",IF(SUMIFS('Facturas y gastos'!$D$10:$D$13,'Facturas y gastos'!$A$10:$A$13,A167)=0,"",J167*SUMIFS('Facturas y gastos'!$H$10:$H$13,'Facturas y gastos'!$A$10:$A$13,A167)/SUMIFS('Facturas y gastos'!$D$10:$D$13,'Facturas y gastos'!$A$10:$A$13,A167)))</f>
        <v>3.8363859173130908</v>
      </c>
      <c r="M167" s="8">
        <f>IF(J167="","",IF(SUMIFS('Facturas y gastos'!$D$10:$D$13,'Facturas y gastos'!$A$10:$A$13,A167)=0,"",J167*SUMIFS('Facturas y gastos'!$I$10:$I$13,'Facturas y gastos'!$A$10:$A$13,A167)/SUMIFS('Facturas y gastos'!$D$10:$D$13,'Facturas y gastos'!$A$10:$A$13,A167)))</f>
        <v>25.872843389767301</v>
      </c>
      <c r="N167" s="8">
        <f>IF(J167="","",IF(SUMIFS('Facturas y gastos'!$D$10:$D$13,'Facturas y gastos'!$A$10:$A$13,A167)=0,"",J167*SUMIFS('Facturas y gastos'!$J$10:$J$13,'Facturas y gastos'!$A$10:$A$13,A167)/SUMIFS('Facturas y gastos'!$D$10:$D$13,'Facturas y gastos'!$A$10:$A$13,A167)))</f>
        <v>0</v>
      </c>
      <c r="O167" s="8">
        <f t="shared" si="4"/>
        <v>156.3101610810204</v>
      </c>
      <c r="P167" s="8" t="str">
        <f>IF(OR(O167="",'Facturas y gastos'!$B$24="",'Facturas y gastos'!$B$45&lt;&gt;"OK",SUM($O$8:$O$657)=0),"",O167*'Facturas y gastos'!$B$43/SUM($O$8:$O$657))</f>
        <v/>
      </c>
      <c r="Q167" s="8" t="str">
        <f>IF(OR(O167="",'Facturas y gastos'!$B$5="",P167=""),"",O167*'Facturas y gastos'!$B$5+P167)</f>
        <v/>
      </c>
      <c r="R167" s="8" t="str">
        <f t="shared" si="5"/>
        <v/>
      </c>
    </row>
    <row r="168" spans="1:18">
      <c r="A168" s="25" t="s">
        <v>60</v>
      </c>
      <c r="B168" s="25">
        <v>42</v>
      </c>
      <c r="C168" s="25" t="s">
        <v>305</v>
      </c>
      <c r="D168" s="25" t="s">
        <v>302</v>
      </c>
      <c r="E168" s="25" t="s">
        <v>108</v>
      </c>
      <c r="F168" s="27">
        <v>144</v>
      </c>
      <c r="G168" s="27">
        <v>3</v>
      </c>
      <c r="H168" s="29">
        <v>0.78</v>
      </c>
      <c r="I168" s="29">
        <v>112.84</v>
      </c>
      <c r="J168" s="8">
        <f>IF(OR(A168="",I168=""),"",IF(SUMIFS($I$8:$I$657,$A$8:$A$657,A168)=0,"",I168*SUMIFS('Facturas y gastos'!$D$10:$D$13,'Facturas y gastos'!$A$10:$A$13,A168)/SUMIFS($I$8:$I$657,$A$8:$A$657,A168)))</f>
        <v>112.83976881081962</v>
      </c>
      <c r="K168" s="8">
        <f>IF(J168="","",IF(SUMIFS('Facturas y gastos'!$D$10:$D$13,'Facturas y gastos'!$A$10:$A$13,A168)=0,"",J168*SUMIFS('Facturas y gastos'!$G$10:$G$13,'Facturas y gastos'!$A$10:$A$13,A168)/SUMIFS('Facturas y gastos'!$D$10:$D$13,'Facturas y gastos'!$A$10:$A$13,A168)))</f>
        <v>1.1284054907430336</v>
      </c>
      <c r="L168" s="8">
        <f>IF(J168="","",IF(SUMIFS('Facturas y gastos'!$D$10:$D$13,'Facturas y gastos'!$A$10:$A$13,A168)=0,"",J168*SUMIFS('Facturas y gastos'!$H$10:$H$13,'Facturas y gastos'!$A$10:$A$13,A168)/SUMIFS('Facturas y gastos'!$D$10:$D$13,'Facturas y gastos'!$A$10:$A$13,A168)))</f>
        <v>3.3851875735815549</v>
      </c>
      <c r="M168" s="8">
        <f>IF(J168="","",IF(SUMIFS('Facturas y gastos'!$D$10:$D$13,'Facturas y gastos'!$A$10:$A$13,A168)=0,"",J168*SUMIFS('Facturas y gastos'!$I$10:$I$13,'Facturas y gastos'!$A$10:$A$13,A168)/SUMIFS('Facturas y gastos'!$D$10:$D$13,'Facturas y gastos'!$A$10:$A$13,A168)))</f>
        <v>22.829931561630769</v>
      </c>
      <c r="N168" s="8">
        <f>IF(J168="","",IF(SUMIFS('Facturas y gastos'!$D$10:$D$13,'Facturas y gastos'!$A$10:$A$13,A168)=0,"",J168*SUMIFS('Facturas y gastos'!$J$10:$J$13,'Facturas y gastos'!$A$10:$A$13,A168)/SUMIFS('Facturas y gastos'!$D$10:$D$13,'Facturas y gastos'!$A$10:$A$13,A168)))</f>
        <v>0</v>
      </c>
      <c r="O168" s="8">
        <f t="shared" si="4"/>
        <v>137.92648245528892</v>
      </c>
      <c r="P168" s="8" t="str">
        <f>IF(OR(O168="",'Facturas y gastos'!$B$24="",'Facturas y gastos'!$B$45&lt;&gt;"OK",SUM($O$8:$O$657)=0),"",O168*'Facturas y gastos'!$B$43/SUM($O$8:$O$657))</f>
        <v/>
      </c>
      <c r="Q168" s="8" t="str">
        <f>IF(OR(O168="",'Facturas y gastos'!$B$5="",P168=""),"",O168*'Facturas y gastos'!$B$5+P168)</f>
        <v/>
      </c>
      <c r="R168" s="8" t="str">
        <f t="shared" si="5"/>
        <v/>
      </c>
    </row>
    <row r="169" spans="1:18">
      <c r="A169" s="25" t="s">
        <v>60</v>
      </c>
      <c r="B169" s="25">
        <v>43</v>
      </c>
      <c r="C169" s="25" t="s">
        <v>306</v>
      </c>
      <c r="D169" s="25" t="s">
        <v>302</v>
      </c>
      <c r="E169" s="25" t="s">
        <v>108</v>
      </c>
      <c r="F169" s="27">
        <v>144</v>
      </c>
      <c r="G169" s="27">
        <v>3</v>
      </c>
      <c r="H169" s="29">
        <v>0.78</v>
      </c>
      <c r="I169" s="29">
        <v>112.84</v>
      </c>
      <c r="J169" s="8">
        <f>IF(OR(A169="",I169=""),"",IF(SUMIFS($I$8:$I$657,$A$8:$A$657,A169)=0,"",I169*SUMIFS('Facturas y gastos'!$D$10:$D$13,'Facturas y gastos'!$A$10:$A$13,A169)/SUMIFS($I$8:$I$657,$A$8:$A$657,A169)))</f>
        <v>112.83976881081962</v>
      </c>
      <c r="K169" s="8">
        <f>IF(J169="","",IF(SUMIFS('Facturas y gastos'!$D$10:$D$13,'Facturas y gastos'!$A$10:$A$13,A169)=0,"",J169*SUMIFS('Facturas y gastos'!$G$10:$G$13,'Facturas y gastos'!$A$10:$A$13,A169)/SUMIFS('Facturas y gastos'!$D$10:$D$13,'Facturas y gastos'!$A$10:$A$13,A169)))</f>
        <v>1.1284054907430336</v>
      </c>
      <c r="L169" s="8">
        <f>IF(J169="","",IF(SUMIFS('Facturas y gastos'!$D$10:$D$13,'Facturas y gastos'!$A$10:$A$13,A169)=0,"",J169*SUMIFS('Facturas y gastos'!$H$10:$H$13,'Facturas y gastos'!$A$10:$A$13,A169)/SUMIFS('Facturas y gastos'!$D$10:$D$13,'Facturas y gastos'!$A$10:$A$13,A169)))</f>
        <v>3.3851875735815549</v>
      </c>
      <c r="M169" s="8">
        <f>IF(J169="","",IF(SUMIFS('Facturas y gastos'!$D$10:$D$13,'Facturas y gastos'!$A$10:$A$13,A169)=0,"",J169*SUMIFS('Facturas y gastos'!$I$10:$I$13,'Facturas y gastos'!$A$10:$A$13,A169)/SUMIFS('Facturas y gastos'!$D$10:$D$13,'Facturas y gastos'!$A$10:$A$13,A169)))</f>
        <v>22.829931561630769</v>
      </c>
      <c r="N169" s="8">
        <f>IF(J169="","",IF(SUMIFS('Facturas y gastos'!$D$10:$D$13,'Facturas y gastos'!$A$10:$A$13,A169)=0,"",J169*SUMIFS('Facturas y gastos'!$J$10:$J$13,'Facturas y gastos'!$A$10:$A$13,A169)/SUMIFS('Facturas y gastos'!$D$10:$D$13,'Facturas y gastos'!$A$10:$A$13,A169)))</f>
        <v>0</v>
      </c>
      <c r="O169" s="8">
        <f t="shared" si="4"/>
        <v>137.92648245528892</v>
      </c>
      <c r="P169" s="8" t="str">
        <f>IF(OR(O169="",'Facturas y gastos'!$B$24="",'Facturas y gastos'!$B$45&lt;&gt;"OK",SUM($O$8:$O$657)=0),"",O169*'Facturas y gastos'!$B$43/SUM($O$8:$O$657))</f>
        <v/>
      </c>
      <c r="Q169" s="8" t="str">
        <f>IF(OR(O169="",'Facturas y gastos'!$B$5="",P169=""),"",O169*'Facturas y gastos'!$B$5+P169)</f>
        <v/>
      </c>
      <c r="R169" s="8" t="str">
        <f t="shared" si="5"/>
        <v/>
      </c>
    </row>
    <row r="170" spans="1:18">
      <c r="A170" s="25" t="s">
        <v>60</v>
      </c>
      <c r="B170" s="25">
        <v>44</v>
      </c>
      <c r="C170" s="25" t="s">
        <v>307</v>
      </c>
      <c r="D170" s="25" t="s">
        <v>302</v>
      </c>
      <c r="E170" s="25" t="s">
        <v>108</v>
      </c>
      <c r="F170" s="27">
        <v>144</v>
      </c>
      <c r="G170" s="27">
        <v>3</v>
      </c>
      <c r="H170" s="29">
        <v>0.74</v>
      </c>
      <c r="I170" s="29">
        <v>106.07</v>
      </c>
      <c r="J170" s="8">
        <f>IF(OR(A170="",I170=""),"",IF(SUMIFS($I$8:$I$657,$A$8:$A$657,A170)=0,"",I170*SUMIFS('Facturas y gastos'!$D$10:$D$13,'Facturas y gastos'!$A$10:$A$13,A170)/SUMIFS($I$8:$I$657,$A$8:$A$657,A170)))</f>
        <v>106.06978268135089</v>
      </c>
      <c r="K170" s="8">
        <f>IF(J170="","",IF(SUMIFS('Facturas y gastos'!$D$10:$D$13,'Facturas y gastos'!$A$10:$A$13,A170)=0,"",J170*SUMIFS('Facturas y gastos'!$G$10:$G$13,'Facturas y gastos'!$A$10:$A$13,A170)/SUMIFS('Facturas y gastos'!$D$10:$D$13,'Facturas y gastos'!$A$10:$A$13,A170)))</f>
        <v>1.0607051613179153</v>
      </c>
      <c r="L170" s="8">
        <f>IF(J170="","",IF(SUMIFS('Facturas y gastos'!$D$10:$D$13,'Facturas y gastos'!$A$10:$A$13,A170)=0,"",J170*SUMIFS('Facturas y gastos'!$H$10:$H$13,'Facturas y gastos'!$A$10:$A$13,A170)/SUMIFS('Facturas y gastos'!$D$10:$D$13,'Facturas y gastos'!$A$10:$A$13,A170)))</f>
        <v>3.1820883191226108</v>
      </c>
      <c r="M170" s="8">
        <f>IF(J170="","",IF(SUMIFS('Facturas y gastos'!$D$10:$D$13,'Facturas y gastos'!$A$10:$A$13,A170)=0,"",J170*SUMIFS('Facturas y gastos'!$I$10:$I$13,'Facturas y gastos'!$A$10:$A$13,A170)/SUMIFS('Facturas y gastos'!$D$10:$D$13,'Facturas y gastos'!$A$10:$A$13,A170)))</f>
        <v>21.460216596438983</v>
      </c>
      <c r="N170" s="8">
        <f>IF(J170="","",IF(SUMIFS('Facturas y gastos'!$D$10:$D$13,'Facturas y gastos'!$A$10:$A$13,A170)=0,"",J170*SUMIFS('Facturas y gastos'!$J$10:$J$13,'Facturas y gastos'!$A$10:$A$13,A170)/SUMIFS('Facturas y gastos'!$D$10:$D$13,'Facturas y gastos'!$A$10:$A$13,A170)))</f>
        <v>0</v>
      </c>
      <c r="O170" s="8">
        <f t="shared" si="4"/>
        <v>129.65138243559457</v>
      </c>
      <c r="P170" s="8" t="str">
        <f>IF(OR(O170="",'Facturas y gastos'!$B$24="",'Facturas y gastos'!$B$45&lt;&gt;"OK",SUM($O$8:$O$657)=0),"",O170*'Facturas y gastos'!$B$43/SUM($O$8:$O$657))</f>
        <v/>
      </c>
      <c r="Q170" s="8" t="str">
        <f>IF(OR(O170="",'Facturas y gastos'!$B$5="",P170=""),"",O170*'Facturas y gastos'!$B$5+P170)</f>
        <v/>
      </c>
      <c r="R170" s="8" t="str">
        <f t="shared" si="5"/>
        <v/>
      </c>
    </row>
    <row r="171" spans="1:18">
      <c r="A171" s="25" t="s">
        <v>60</v>
      </c>
      <c r="B171" s="25">
        <v>45</v>
      </c>
      <c r="C171" s="25" t="s">
        <v>308</v>
      </c>
      <c r="D171" s="25" t="s">
        <v>302</v>
      </c>
      <c r="E171" s="25" t="s">
        <v>108</v>
      </c>
      <c r="F171" s="27">
        <v>180</v>
      </c>
      <c r="G171" s="27">
        <v>3</v>
      </c>
      <c r="H171" s="29">
        <v>0.63</v>
      </c>
      <c r="I171" s="29">
        <v>112.84</v>
      </c>
      <c r="J171" s="8">
        <f>IF(OR(A171="",I171=""),"",IF(SUMIFS($I$8:$I$657,$A$8:$A$657,A171)=0,"",I171*SUMIFS('Facturas y gastos'!$D$10:$D$13,'Facturas y gastos'!$A$10:$A$13,A171)/SUMIFS($I$8:$I$657,$A$8:$A$657,A171)))</f>
        <v>112.83976881081962</v>
      </c>
      <c r="K171" s="8">
        <f>IF(J171="","",IF(SUMIFS('Facturas y gastos'!$D$10:$D$13,'Facturas y gastos'!$A$10:$A$13,A171)=0,"",J171*SUMIFS('Facturas y gastos'!$G$10:$G$13,'Facturas y gastos'!$A$10:$A$13,A171)/SUMIFS('Facturas y gastos'!$D$10:$D$13,'Facturas y gastos'!$A$10:$A$13,A171)))</f>
        <v>1.1284054907430336</v>
      </c>
      <c r="L171" s="8">
        <f>IF(J171="","",IF(SUMIFS('Facturas y gastos'!$D$10:$D$13,'Facturas y gastos'!$A$10:$A$13,A171)=0,"",J171*SUMIFS('Facturas y gastos'!$H$10:$H$13,'Facturas y gastos'!$A$10:$A$13,A171)/SUMIFS('Facturas y gastos'!$D$10:$D$13,'Facturas y gastos'!$A$10:$A$13,A171)))</f>
        <v>3.3851875735815549</v>
      </c>
      <c r="M171" s="8">
        <f>IF(J171="","",IF(SUMIFS('Facturas y gastos'!$D$10:$D$13,'Facturas y gastos'!$A$10:$A$13,A171)=0,"",J171*SUMIFS('Facturas y gastos'!$I$10:$I$13,'Facturas y gastos'!$A$10:$A$13,A171)/SUMIFS('Facturas y gastos'!$D$10:$D$13,'Facturas y gastos'!$A$10:$A$13,A171)))</f>
        <v>22.829931561630769</v>
      </c>
      <c r="N171" s="8">
        <f>IF(J171="","",IF(SUMIFS('Facturas y gastos'!$D$10:$D$13,'Facturas y gastos'!$A$10:$A$13,A171)=0,"",J171*SUMIFS('Facturas y gastos'!$J$10:$J$13,'Facturas y gastos'!$A$10:$A$13,A171)/SUMIFS('Facturas y gastos'!$D$10:$D$13,'Facturas y gastos'!$A$10:$A$13,A171)))</f>
        <v>0</v>
      </c>
      <c r="O171" s="8">
        <f t="shared" si="4"/>
        <v>137.92648245528892</v>
      </c>
      <c r="P171" s="8" t="str">
        <f>IF(OR(O171="",'Facturas y gastos'!$B$24="",'Facturas y gastos'!$B$45&lt;&gt;"OK",SUM($O$8:$O$657)=0),"",O171*'Facturas y gastos'!$B$43/SUM($O$8:$O$657))</f>
        <v/>
      </c>
      <c r="Q171" s="8" t="str">
        <f>IF(OR(O171="",'Facturas y gastos'!$B$5="",P171=""),"",O171*'Facturas y gastos'!$B$5+P171)</f>
        <v/>
      </c>
      <c r="R171" s="8" t="str">
        <f t="shared" si="5"/>
        <v/>
      </c>
    </row>
    <row r="172" spans="1:18">
      <c r="A172" s="25" t="s">
        <v>60</v>
      </c>
      <c r="B172" s="25">
        <v>46</v>
      </c>
      <c r="C172" s="25" t="s">
        <v>309</v>
      </c>
      <c r="D172" s="25" t="s">
        <v>302</v>
      </c>
      <c r="E172" s="25" t="s">
        <v>108</v>
      </c>
      <c r="F172" s="27">
        <v>180</v>
      </c>
      <c r="G172" s="27">
        <v>3</v>
      </c>
      <c r="H172" s="29">
        <v>0.63</v>
      </c>
      <c r="I172" s="29">
        <v>112.84</v>
      </c>
      <c r="J172" s="8">
        <f>IF(OR(A172="",I172=""),"",IF(SUMIFS($I$8:$I$657,$A$8:$A$657,A172)=0,"",I172*SUMIFS('Facturas y gastos'!$D$10:$D$13,'Facturas y gastos'!$A$10:$A$13,A172)/SUMIFS($I$8:$I$657,$A$8:$A$657,A172)))</f>
        <v>112.83976881081962</v>
      </c>
      <c r="K172" s="8">
        <f>IF(J172="","",IF(SUMIFS('Facturas y gastos'!$D$10:$D$13,'Facturas y gastos'!$A$10:$A$13,A172)=0,"",J172*SUMIFS('Facturas y gastos'!$G$10:$G$13,'Facturas y gastos'!$A$10:$A$13,A172)/SUMIFS('Facturas y gastos'!$D$10:$D$13,'Facturas y gastos'!$A$10:$A$13,A172)))</f>
        <v>1.1284054907430336</v>
      </c>
      <c r="L172" s="8">
        <f>IF(J172="","",IF(SUMIFS('Facturas y gastos'!$D$10:$D$13,'Facturas y gastos'!$A$10:$A$13,A172)=0,"",J172*SUMIFS('Facturas y gastos'!$H$10:$H$13,'Facturas y gastos'!$A$10:$A$13,A172)/SUMIFS('Facturas y gastos'!$D$10:$D$13,'Facturas y gastos'!$A$10:$A$13,A172)))</f>
        <v>3.3851875735815549</v>
      </c>
      <c r="M172" s="8">
        <f>IF(J172="","",IF(SUMIFS('Facturas y gastos'!$D$10:$D$13,'Facturas y gastos'!$A$10:$A$13,A172)=0,"",J172*SUMIFS('Facturas y gastos'!$I$10:$I$13,'Facturas y gastos'!$A$10:$A$13,A172)/SUMIFS('Facturas y gastos'!$D$10:$D$13,'Facturas y gastos'!$A$10:$A$13,A172)))</f>
        <v>22.829931561630769</v>
      </c>
      <c r="N172" s="8">
        <f>IF(J172="","",IF(SUMIFS('Facturas y gastos'!$D$10:$D$13,'Facturas y gastos'!$A$10:$A$13,A172)=0,"",J172*SUMIFS('Facturas y gastos'!$J$10:$J$13,'Facturas y gastos'!$A$10:$A$13,A172)/SUMIFS('Facturas y gastos'!$D$10:$D$13,'Facturas y gastos'!$A$10:$A$13,A172)))</f>
        <v>0</v>
      </c>
      <c r="O172" s="8">
        <f t="shared" si="4"/>
        <v>137.92648245528892</v>
      </c>
      <c r="P172" s="8" t="str">
        <f>IF(OR(O172="",'Facturas y gastos'!$B$24="",'Facturas y gastos'!$B$45&lt;&gt;"OK",SUM($O$8:$O$657)=0),"",O172*'Facturas y gastos'!$B$43/SUM($O$8:$O$657))</f>
        <v/>
      </c>
      <c r="Q172" s="8" t="str">
        <f>IF(OR(O172="",'Facturas y gastos'!$B$5="",P172=""),"",O172*'Facturas y gastos'!$B$5+P172)</f>
        <v/>
      </c>
      <c r="R172" s="8" t="str">
        <f t="shared" si="5"/>
        <v/>
      </c>
    </row>
    <row r="173" spans="1:18">
      <c r="A173" s="25" t="s">
        <v>60</v>
      </c>
      <c r="B173" s="25">
        <v>47</v>
      </c>
      <c r="C173" s="25" t="s">
        <v>310</v>
      </c>
      <c r="D173" s="25" t="s">
        <v>302</v>
      </c>
      <c r="E173" s="25" t="s">
        <v>108</v>
      </c>
      <c r="F173" s="27">
        <v>180</v>
      </c>
      <c r="G173" s="27">
        <v>3</v>
      </c>
      <c r="H173" s="29">
        <v>0.6</v>
      </c>
      <c r="I173" s="29">
        <v>107.19</v>
      </c>
      <c r="J173" s="8">
        <f>IF(OR(A173="",I173=""),"",IF(SUMIFS($I$8:$I$657,$A$8:$A$657,A173)=0,"",I173*SUMIFS('Facturas y gastos'!$D$10:$D$13,'Facturas y gastos'!$A$10:$A$13,A173)/SUMIFS($I$8:$I$657,$A$8:$A$657,A173)))</f>
        <v>107.1897803866692</v>
      </c>
      <c r="K173" s="8">
        <f>IF(J173="","",IF(SUMIFS('Facturas y gastos'!$D$10:$D$13,'Facturas y gastos'!$A$10:$A$13,A173)=0,"",J173*SUMIFS('Facturas y gastos'!$G$10:$G$13,'Facturas y gastos'!$A$10:$A$13,A173)/SUMIFS('Facturas y gastos'!$D$10:$D$13,'Facturas y gastos'!$A$10:$A$13,A173)))</f>
        <v>1.0719052158166054</v>
      </c>
      <c r="L173" s="8">
        <f>IF(J173="","",IF(SUMIFS('Facturas y gastos'!$D$10:$D$13,'Facturas y gastos'!$A$10:$A$13,A173)=0,"",J173*SUMIFS('Facturas y gastos'!$H$10:$H$13,'Facturas y gastos'!$A$10:$A$13,A173)/SUMIFS('Facturas y gastos'!$D$10:$D$13,'Facturas y gastos'!$A$10:$A$13,A173)))</f>
        <v>3.2156881957834704</v>
      </c>
      <c r="M173" s="8">
        <f>IF(J173="","",IF(SUMIFS('Facturas y gastos'!$D$10:$D$13,'Facturas y gastos'!$A$10:$A$13,A173)=0,"",J173*SUMIFS('Facturas y gastos'!$I$10:$I$13,'Facturas y gastos'!$A$10:$A$13,A173)/SUMIFS('Facturas y gastos'!$D$10:$D$13,'Facturas y gastos'!$A$10:$A$13,A173)))</f>
        <v>21.686816413427877</v>
      </c>
      <c r="N173" s="8">
        <f>IF(J173="","",IF(SUMIFS('Facturas y gastos'!$D$10:$D$13,'Facturas y gastos'!$A$10:$A$13,A173)=0,"",J173*SUMIFS('Facturas y gastos'!$J$10:$J$13,'Facturas y gastos'!$A$10:$A$13,A173)/SUMIFS('Facturas y gastos'!$D$10:$D$13,'Facturas y gastos'!$A$10:$A$13,A173)))</f>
        <v>0</v>
      </c>
      <c r="O173" s="8">
        <f t="shared" si="4"/>
        <v>131.02037978006393</v>
      </c>
      <c r="P173" s="8" t="str">
        <f>IF(OR(O173="",'Facturas y gastos'!$B$24="",'Facturas y gastos'!$B$45&lt;&gt;"OK",SUM($O$8:$O$657)=0),"",O173*'Facturas y gastos'!$B$43/SUM($O$8:$O$657))</f>
        <v/>
      </c>
      <c r="Q173" s="8" t="str">
        <f>IF(OR(O173="",'Facturas y gastos'!$B$5="",P173=""),"",O173*'Facturas y gastos'!$B$5+P173)</f>
        <v/>
      </c>
      <c r="R173" s="8" t="str">
        <f t="shared" si="5"/>
        <v/>
      </c>
    </row>
    <row r="174" spans="1:18">
      <c r="A174" s="25" t="s">
        <v>60</v>
      </c>
      <c r="B174" s="25">
        <v>48</v>
      </c>
      <c r="C174" s="25" t="s">
        <v>311</v>
      </c>
      <c r="D174" s="25" t="s">
        <v>302</v>
      </c>
      <c r="E174" s="25" t="s">
        <v>108</v>
      </c>
      <c r="F174" s="27">
        <v>180</v>
      </c>
      <c r="G174" s="27">
        <v>3</v>
      </c>
      <c r="H174" s="29">
        <v>0.47</v>
      </c>
      <c r="I174" s="29">
        <v>84.63</v>
      </c>
      <c r="J174" s="8">
        <f>IF(OR(A174="",I174=""),"",IF(SUMIFS($I$8:$I$657,$A$8:$A$657,A174)=0,"",I174*SUMIFS('Facturas y gastos'!$D$10:$D$13,'Facturas y gastos'!$A$10:$A$13,A174)/SUMIFS($I$8:$I$657,$A$8:$A$657,A174)))</f>
        <v>84.629826608114698</v>
      </c>
      <c r="K174" s="8">
        <f>IF(J174="","",IF(SUMIFS('Facturas y gastos'!$D$10:$D$13,'Facturas y gastos'!$A$10:$A$13,A174)=0,"",J174*SUMIFS('Facturas y gastos'!$G$10:$G$13,'Facturas y gastos'!$A$10:$A$13,A174)/SUMIFS('Facturas y gastos'!$D$10:$D$13,'Facturas y gastos'!$A$10:$A$13,A174)))</f>
        <v>0.84630411805727512</v>
      </c>
      <c r="L174" s="8">
        <f>IF(J174="","",IF(SUMIFS('Facturas y gastos'!$D$10:$D$13,'Facturas y gastos'!$A$10:$A$13,A174)=0,"",J174*SUMIFS('Facturas y gastos'!$H$10:$H$13,'Facturas y gastos'!$A$10:$A$13,A174)/SUMIFS('Facturas y gastos'!$D$10:$D$13,'Facturas y gastos'!$A$10:$A$13,A174)))</f>
        <v>2.5388906801861655</v>
      </c>
      <c r="M174" s="8">
        <f>IF(J174="","",IF(SUMIFS('Facturas y gastos'!$D$10:$D$13,'Facturas y gastos'!$A$10:$A$13,A174)=0,"",J174*SUMIFS('Facturas y gastos'!$I$10:$I$13,'Facturas y gastos'!$A$10:$A$13,A174)/SUMIFS('Facturas y gastos'!$D$10:$D$13,'Facturas y gastos'!$A$10:$A$13,A174)))</f>
        <v>17.122448671223072</v>
      </c>
      <c r="N174" s="8">
        <f>IF(J174="","",IF(SUMIFS('Facturas y gastos'!$D$10:$D$13,'Facturas y gastos'!$A$10:$A$13,A174)=0,"",J174*SUMIFS('Facturas y gastos'!$J$10:$J$13,'Facturas y gastos'!$A$10:$A$13,A174)/SUMIFS('Facturas y gastos'!$D$10:$D$13,'Facturas y gastos'!$A$10:$A$13,A174)))</f>
        <v>0</v>
      </c>
      <c r="O174" s="8">
        <f t="shared" si="4"/>
        <v>103.44486184146666</v>
      </c>
      <c r="P174" s="8" t="str">
        <f>IF(OR(O174="",'Facturas y gastos'!$B$24="",'Facturas y gastos'!$B$45&lt;&gt;"OK",SUM($O$8:$O$657)=0),"",O174*'Facturas y gastos'!$B$43/SUM($O$8:$O$657))</f>
        <v/>
      </c>
      <c r="Q174" s="8" t="str">
        <f>IF(OR(O174="",'Facturas y gastos'!$B$5="",P174=""),"",O174*'Facturas y gastos'!$B$5+P174)</f>
        <v/>
      </c>
      <c r="R174" s="8" t="str">
        <f t="shared" si="5"/>
        <v/>
      </c>
    </row>
    <row r="175" spans="1:18">
      <c r="A175" s="25" t="s">
        <v>60</v>
      </c>
      <c r="B175" s="25">
        <v>49</v>
      </c>
      <c r="C175" s="25" t="s">
        <v>312</v>
      </c>
      <c r="D175" s="25" t="s">
        <v>302</v>
      </c>
      <c r="E175" s="25" t="s">
        <v>108</v>
      </c>
      <c r="F175" s="27">
        <v>108</v>
      </c>
      <c r="G175" s="27">
        <v>3</v>
      </c>
      <c r="H175" s="29">
        <v>1.1000000000000001</v>
      </c>
      <c r="I175" s="29">
        <v>118.48</v>
      </c>
      <c r="J175" s="8">
        <f>IF(OR(A175="",I175=""),"",IF(SUMIFS($I$8:$I$657,$A$8:$A$657,A175)=0,"",I175*SUMIFS('Facturas y gastos'!$D$10:$D$13,'Facturas y gastos'!$A$10:$A$13,A175)/SUMIFS($I$8:$I$657,$A$8:$A$657,A175)))</f>
        <v>118.47975725545824</v>
      </c>
      <c r="K175" s="8">
        <f>IF(J175="","",IF(SUMIFS('Facturas y gastos'!$D$10:$D$13,'Facturas y gastos'!$A$10:$A$13,A175)=0,"",J175*SUMIFS('Facturas y gastos'!$G$10:$G$13,'Facturas y gastos'!$A$10:$A$13,A175)/SUMIFS('Facturas y gastos'!$D$10:$D$13,'Facturas y gastos'!$A$10:$A$13,A175)))</f>
        <v>1.1848057651828663</v>
      </c>
      <c r="L175" s="8">
        <f>IF(J175="","",IF(SUMIFS('Facturas y gastos'!$D$10:$D$13,'Facturas y gastos'!$A$10:$A$13,A175)=0,"",J175*SUMIFS('Facturas y gastos'!$H$10:$H$13,'Facturas y gastos'!$A$10:$A$13,A175)/SUMIFS('Facturas y gastos'!$D$10:$D$13,'Facturas y gastos'!$A$10:$A$13,A175)))</f>
        <v>3.5543869524808809</v>
      </c>
      <c r="M175" s="8">
        <f>IF(J175="","",IF(SUMIFS('Facturas y gastos'!$D$10:$D$13,'Facturas y gastos'!$A$10:$A$13,A175)=0,"",J175*SUMIFS('Facturas y gastos'!$I$10:$I$13,'Facturas y gastos'!$A$10:$A$13,A175)/SUMIFS('Facturas y gastos'!$D$10:$D$13,'Facturas y gastos'!$A$10:$A$13,A175)))</f>
        <v>23.971023497181967</v>
      </c>
      <c r="N175" s="8">
        <f>IF(J175="","",IF(SUMIFS('Facturas y gastos'!$D$10:$D$13,'Facturas y gastos'!$A$10:$A$13,A175)=0,"",J175*SUMIFS('Facturas y gastos'!$J$10:$J$13,'Facturas y gastos'!$A$10:$A$13,A175)/SUMIFS('Facturas y gastos'!$D$10:$D$13,'Facturas y gastos'!$A$10:$A$13,A175)))</f>
        <v>0</v>
      </c>
      <c r="O175" s="8">
        <f t="shared" si="4"/>
        <v>144.82036193993821</v>
      </c>
      <c r="P175" s="8" t="str">
        <f>IF(OR(O175="",'Facturas y gastos'!$B$24="",'Facturas y gastos'!$B$45&lt;&gt;"OK",SUM($O$8:$O$657)=0),"",O175*'Facturas y gastos'!$B$43/SUM($O$8:$O$657))</f>
        <v/>
      </c>
      <c r="Q175" s="8" t="str">
        <f>IF(OR(O175="",'Facturas y gastos'!$B$5="",P175=""),"",O175*'Facturas y gastos'!$B$5+P175)</f>
        <v/>
      </c>
      <c r="R175" s="8" t="str">
        <f t="shared" si="5"/>
        <v/>
      </c>
    </row>
    <row r="176" spans="1:18">
      <c r="A176" s="25" t="s">
        <v>60</v>
      </c>
      <c r="B176" s="25">
        <v>50</v>
      </c>
      <c r="C176" s="25" t="s">
        <v>313</v>
      </c>
      <c r="D176" s="25" t="s">
        <v>302</v>
      </c>
      <c r="E176" s="25" t="s">
        <v>108</v>
      </c>
      <c r="F176" s="27">
        <v>108</v>
      </c>
      <c r="G176" s="27">
        <v>3</v>
      </c>
      <c r="H176" s="29">
        <v>1.25</v>
      </c>
      <c r="I176" s="29">
        <v>135.4</v>
      </c>
      <c r="J176" s="8">
        <f>IF(OR(A176="",I176=""),"",IF(SUMIFS($I$8:$I$657,$A$8:$A$657,A176)=0,"",I176*SUMIFS('Facturas y gastos'!$D$10:$D$13,'Facturas y gastos'!$A$10:$A$13,A176)/SUMIFS($I$8:$I$657,$A$8:$A$657,A176)))</f>
        <v>135.39972258937411</v>
      </c>
      <c r="K176" s="8">
        <f>IF(J176="","",IF(SUMIFS('Facturas y gastos'!$D$10:$D$13,'Facturas y gastos'!$A$10:$A$13,A176)=0,"",J176*SUMIFS('Facturas y gastos'!$G$10:$G$13,'Facturas y gastos'!$A$10:$A$13,A176)/SUMIFS('Facturas y gastos'!$D$10:$D$13,'Facturas y gastos'!$A$10:$A$13,A176)))</f>
        <v>1.354006588502364</v>
      </c>
      <c r="L176" s="8">
        <f>IF(J176="","",IF(SUMIFS('Facturas y gastos'!$D$10:$D$13,'Facturas y gastos'!$A$10:$A$13,A176)=0,"",J176*SUMIFS('Facturas y gastos'!$H$10:$H$13,'Facturas y gastos'!$A$10:$A$13,A176)/SUMIFS('Facturas y gastos'!$D$10:$D$13,'Facturas y gastos'!$A$10:$A$13,A176)))</f>
        <v>4.0619850891788589</v>
      </c>
      <c r="M176" s="8">
        <f>IF(J176="","",IF(SUMIFS('Facturas y gastos'!$D$10:$D$13,'Facturas y gastos'!$A$10:$A$13,A176)=0,"",J176*SUMIFS('Facturas y gastos'!$I$10:$I$13,'Facturas y gastos'!$A$10:$A$13,A176)/SUMIFS('Facturas y gastos'!$D$10:$D$13,'Facturas y gastos'!$A$10:$A$13,A176)))</f>
        <v>27.394299303835567</v>
      </c>
      <c r="N176" s="8">
        <f>IF(J176="","",IF(SUMIFS('Facturas y gastos'!$D$10:$D$13,'Facturas y gastos'!$A$10:$A$13,A176)=0,"",J176*SUMIFS('Facturas y gastos'!$J$10:$J$13,'Facturas y gastos'!$A$10:$A$13,A176)/SUMIFS('Facturas y gastos'!$D$10:$D$13,'Facturas y gastos'!$A$10:$A$13,A176)))</f>
        <v>0</v>
      </c>
      <c r="O176" s="8">
        <f t="shared" si="4"/>
        <v>165.50200039388616</v>
      </c>
      <c r="P176" s="8" t="str">
        <f>IF(OR(O176="",'Facturas y gastos'!$B$24="",'Facturas y gastos'!$B$45&lt;&gt;"OK",SUM($O$8:$O$657)=0),"",O176*'Facturas y gastos'!$B$43/SUM($O$8:$O$657))</f>
        <v/>
      </c>
      <c r="Q176" s="8" t="str">
        <f>IF(OR(O176="",'Facturas y gastos'!$B$5="",P176=""),"",O176*'Facturas y gastos'!$B$5+P176)</f>
        <v/>
      </c>
      <c r="R176" s="8" t="str">
        <f t="shared" si="5"/>
        <v/>
      </c>
    </row>
    <row r="177" spans="1:18">
      <c r="A177" s="25" t="s">
        <v>60</v>
      </c>
      <c r="B177" s="25">
        <v>51</v>
      </c>
      <c r="C177" s="25" t="s">
        <v>314</v>
      </c>
      <c r="D177" s="25" t="s">
        <v>302</v>
      </c>
      <c r="E177" s="25" t="s">
        <v>108</v>
      </c>
      <c r="F177" s="27">
        <v>108</v>
      </c>
      <c r="G177" s="27">
        <v>3</v>
      </c>
      <c r="H177" s="29">
        <v>1.25</v>
      </c>
      <c r="I177" s="29">
        <v>135.4</v>
      </c>
      <c r="J177" s="8">
        <f>IF(OR(A177="",I177=""),"",IF(SUMIFS($I$8:$I$657,$A$8:$A$657,A177)=0,"",I177*SUMIFS('Facturas y gastos'!$D$10:$D$13,'Facturas y gastos'!$A$10:$A$13,A177)/SUMIFS($I$8:$I$657,$A$8:$A$657,A177)))</f>
        <v>135.39972258937411</v>
      </c>
      <c r="K177" s="8">
        <f>IF(J177="","",IF(SUMIFS('Facturas y gastos'!$D$10:$D$13,'Facturas y gastos'!$A$10:$A$13,A177)=0,"",J177*SUMIFS('Facturas y gastos'!$G$10:$G$13,'Facturas y gastos'!$A$10:$A$13,A177)/SUMIFS('Facturas y gastos'!$D$10:$D$13,'Facturas y gastos'!$A$10:$A$13,A177)))</f>
        <v>1.354006588502364</v>
      </c>
      <c r="L177" s="8">
        <f>IF(J177="","",IF(SUMIFS('Facturas y gastos'!$D$10:$D$13,'Facturas y gastos'!$A$10:$A$13,A177)=0,"",J177*SUMIFS('Facturas y gastos'!$H$10:$H$13,'Facturas y gastos'!$A$10:$A$13,A177)/SUMIFS('Facturas y gastos'!$D$10:$D$13,'Facturas y gastos'!$A$10:$A$13,A177)))</f>
        <v>4.0619850891788589</v>
      </c>
      <c r="M177" s="8">
        <f>IF(J177="","",IF(SUMIFS('Facturas y gastos'!$D$10:$D$13,'Facturas y gastos'!$A$10:$A$13,A177)=0,"",J177*SUMIFS('Facturas y gastos'!$I$10:$I$13,'Facturas y gastos'!$A$10:$A$13,A177)/SUMIFS('Facturas y gastos'!$D$10:$D$13,'Facturas y gastos'!$A$10:$A$13,A177)))</f>
        <v>27.394299303835567</v>
      </c>
      <c r="N177" s="8">
        <f>IF(J177="","",IF(SUMIFS('Facturas y gastos'!$D$10:$D$13,'Facturas y gastos'!$A$10:$A$13,A177)=0,"",J177*SUMIFS('Facturas y gastos'!$J$10:$J$13,'Facturas y gastos'!$A$10:$A$13,A177)/SUMIFS('Facturas y gastos'!$D$10:$D$13,'Facturas y gastos'!$A$10:$A$13,A177)))</f>
        <v>0</v>
      </c>
      <c r="O177" s="8">
        <f t="shared" si="4"/>
        <v>165.50200039388616</v>
      </c>
      <c r="P177" s="8" t="str">
        <f>IF(OR(O177="",'Facturas y gastos'!$B$24="",'Facturas y gastos'!$B$45&lt;&gt;"OK",SUM($O$8:$O$657)=0),"",O177*'Facturas y gastos'!$B$43/SUM($O$8:$O$657))</f>
        <v/>
      </c>
      <c r="Q177" s="8" t="str">
        <f>IF(OR(O177="",'Facturas y gastos'!$B$5="",P177=""),"",O177*'Facturas y gastos'!$B$5+P177)</f>
        <v/>
      </c>
      <c r="R177" s="8" t="str">
        <f t="shared" si="5"/>
        <v/>
      </c>
    </row>
    <row r="178" spans="1:18">
      <c r="A178" s="25" t="s">
        <v>60</v>
      </c>
      <c r="B178" s="25">
        <v>52</v>
      </c>
      <c r="C178" s="25" t="s">
        <v>315</v>
      </c>
      <c r="D178" s="25" t="s">
        <v>302</v>
      </c>
      <c r="E178" s="25" t="s">
        <v>108</v>
      </c>
      <c r="F178" s="27">
        <v>144</v>
      </c>
      <c r="G178" s="27">
        <v>3</v>
      </c>
      <c r="H178" s="29">
        <v>1.1000000000000001</v>
      </c>
      <c r="I178" s="29">
        <v>157.97</v>
      </c>
      <c r="J178" s="8">
        <f>IF(OR(A178="",I178=""),"",IF(SUMIFS($I$8:$I$657,$A$8:$A$657,A178)=0,"",I178*SUMIFS('Facturas y gastos'!$D$10:$D$13,'Facturas y gastos'!$A$10:$A$13,A178)/SUMIFS($I$8:$I$657,$A$8:$A$657,A178)))</f>
        <v>157.96967634744038</v>
      </c>
      <c r="K178" s="8">
        <f>IF(J178="","",IF(SUMIFS('Facturas y gastos'!$D$10:$D$13,'Facturas y gastos'!$A$10:$A$13,A178)=0,"",J178*SUMIFS('Facturas y gastos'!$G$10:$G$13,'Facturas y gastos'!$A$10:$A$13,A178)/SUMIFS('Facturas y gastos'!$D$10:$D$13,'Facturas y gastos'!$A$10:$A$13,A178)))</f>
        <v>1.5797076867482895</v>
      </c>
      <c r="L178" s="8">
        <f>IF(J178="","",IF(SUMIFS('Facturas y gastos'!$D$10:$D$13,'Facturas y gastos'!$A$10:$A$13,A178)=0,"",J178*SUMIFS('Facturas y gastos'!$H$10:$H$13,'Facturas y gastos'!$A$10:$A$13,A178)/SUMIFS('Facturas y gastos'!$D$10:$D$13,'Facturas y gastos'!$A$10:$A$13,A178)))</f>
        <v>4.7390826036749214</v>
      </c>
      <c r="M178" s="8">
        <f>IF(J178="","",IF(SUMIFS('Facturas y gastos'!$D$10:$D$13,'Facturas y gastos'!$A$10:$A$13,A178)=0,"",J178*SUMIFS('Facturas y gastos'!$I$10:$I$13,'Facturas y gastos'!$A$10:$A$13,A178)/SUMIFS('Facturas y gastos'!$D$10:$D$13,'Facturas y gastos'!$A$10:$A$13,A178)))</f>
        <v>31.960690258692054</v>
      </c>
      <c r="N178" s="8">
        <f>IF(J178="","",IF(SUMIFS('Facturas y gastos'!$D$10:$D$13,'Facturas y gastos'!$A$10:$A$13,A178)=0,"",J178*SUMIFS('Facturas y gastos'!$J$10:$J$13,'Facturas y gastos'!$A$10:$A$13,A178)/SUMIFS('Facturas y gastos'!$D$10:$D$13,'Facturas y gastos'!$A$10:$A$13,A178)))</f>
        <v>0</v>
      </c>
      <c r="O178" s="8">
        <f t="shared" si="4"/>
        <v>193.08974152305905</v>
      </c>
      <c r="P178" s="8" t="str">
        <f>IF(OR(O178="",'Facturas y gastos'!$B$24="",'Facturas y gastos'!$B$45&lt;&gt;"OK",SUM($O$8:$O$657)=0),"",O178*'Facturas y gastos'!$B$43/SUM($O$8:$O$657))</f>
        <v/>
      </c>
      <c r="Q178" s="8" t="str">
        <f>IF(OR(O178="",'Facturas y gastos'!$B$5="",P178=""),"",O178*'Facturas y gastos'!$B$5+P178)</f>
        <v/>
      </c>
      <c r="R178" s="8" t="str">
        <f t="shared" si="5"/>
        <v/>
      </c>
    </row>
    <row r="179" spans="1:18">
      <c r="A179" s="25" t="s">
        <v>60</v>
      </c>
      <c r="B179" s="25">
        <v>53</v>
      </c>
      <c r="C179" s="25" t="s">
        <v>316</v>
      </c>
      <c r="D179" s="25" t="s">
        <v>302</v>
      </c>
      <c r="E179" s="25" t="s">
        <v>108</v>
      </c>
      <c r="F179" s="27">
        <v>108</v>
      </c>
      <c r="G179" s="27">
        <v>3</v>
      </c>
      <c r="H179" s="29">
        <v>1.1000000000000001</v>
      </c>
      <c r="I179" s="29">
        <v>118.48</v>
      </c>
      <c r="J179" s="8">
        <f>IF(OR(A179="",I179=""),"",IF(SUMIFS($I$8:$I$657,$A$8:$A$657,A179)=0,"",I179*SUMIFS('Facturas y gastos'!$D$10:$D$13,'Facturas y gastos'!$A$10:$A$13,A179)/SUMIFS($I$8:$I$657,$A$8:$A$657,A179)))</f>
        <v>118.47975725545824</v>
      </c>
      <c r="K179" s="8">
        <f>IF(J179="","",IF(SUMIFS('Facturas y gastos'!$D$10:$D$13,'Facturas y gastos'!$A$10:$A$13,A179)=0,"",J179*SUMIFS('Facturas y gastos'!$G$10:$G$13,'Facturas y gastos'!$A$10:$A$13,A179)/SUMIFS('Facturas y gastos'!$D$10:$D$13,'Facturas y gastos'!$A$10:$A$13,A179)))</f>
        <v>1.1848057651828663</v>
      </c>
      <c r="L179" s="8">
        <f>IF(J179="","",IF(SUMIFS('Facturas y gastos'!$D$10:$D$13,'Facturas y gastos'!$A$10:$A$13,A179)=0,"",J179*SUMIFS('Facturas y gastos'!$H$10:$H$13,'Facturas y gastos'!$A$10:$A$13,A179)/SUMIFS('Facturas y gastos'!$D$10:$D$13,'Facturas y gastos'!$A$10:$A$13,A179)))</f>
        <v>3.5543869524808809</v>
      </c>
      <c r="M179" s="8">
        <f>IF(J179="","",IF(SUMIFS('Facturas y gastos'!$D$10:$D$13,'Facturas y gastos'!$A$10:$A$13,A179)=0,"",J179*SUMIFS('Facturas y gastos'!$I$10:$I$13,'Facturas y gastos'!$A$10:$A$13,A179)/SUMIFS('Facturas y gastos'!$D$10:$D$13,'Facturas y gastos'!$A$10:$A$13,A179)))</f>
        <v>23.971023497181967</v>
      </c>
      <c r="N179" s="8">
        <f>IF(J179="","",IF(SUMIFS('Facturas y gastos'!$D$10:$D$13,'Facturas y gastos'!$A$10:$A$13,A179)=0,"",J179*SUMIFS('Facturas y gastos'!$J$10:$J$13,'Facturas y gastos'!$A$10:$A$13,A179)/SUMIFS('Facturas y gastos'!$D$10:$D$13,'Facturas y gastos'!$A$10:$A$13,A179)))</f>
        <v>0</v>
      </c>
      <c r="O179" s="8">
        <f t="shared" si="4"/>
        <v>144.82036193993821</v>
      </c>
      <c r="P179" s="8" t="str">
        <f>IF(OR(O179="",'Facturas y gastos'!$B$24="",'Facturas y gastos'!$B$45&lt;&gt;"OK",SUM($O$8:$O$657)=0),"",O179*'Facturas y gastos'!$B$43/SUM($O$8:$O$657))</f>
        <v/>
      </c>
      <c r="Q179" s="8" t="str">
        <f>IF(OR(O179="",'Facturas y gastos'!$B$5="",P179=""),"",O179*'Facturas y gastos'!$B$5+P179)</f>
        <v/>
      </c>
      <c r="R179" s="8" t="str">
        <f t="shared" si="5"/>
        <v/>
      </c>
    </row>
    <row r="180" spans="1:18">
      <c r="A180" s="25" t="s">
        <v>60</v>
      </c>
      <c r="B180" s="25">
        <v>54</v>
      </c>
      <c r="C180" s="25" t="s">
        <v>317</v>
      </c>
      <c r="D180" s="25" t="s">
        <v>302</v>
      </c>
      <c r="E180" s="25" t="s">
        <v>108</v>
      </c>
      <c r="F180" s="27">
        <v>108</v>
      </c>
      <c r="G180" s="27">
        <v>3</v>
      </c>
      <c r="H180" s="29">
        <v>1.1000000000000001</v>
      </c>
      <c r="I180" s="29">
        <v>118.48</v>
      </c>
      <c r="J180" s="8">
        <f>IF(OR(A180="",I180=""),"",IF(SUMIFS($I$8:$I$657,$A$8:$A$657,A180)=0,"",I180*SUMIFS('Facturas y gastos'!$D$10:$D$13,'Facturas y gastos'!$A$10:$A$13,A180)/SUMIFS($I$8:$I$657,$A$8:$A$657,A180)))</f>
        <v>118.47975725545824</v>
      </c>
      <c r="K180" s="8">
        <f>IF(J180="","",IF(SUMIFS('Facturas y gastos'!$D$10:$D$13,'Facturas y gastos'!$A$10:$A$13,A180)=0,"",J180*SUMIFS('Facturas y gastos'!$G$10:$G$13,'Facturas y gastos'!$A$10:$A$13,A180)/SUMIFS('Facturas y gastos'!$D$10:$D$13,'Facturas y gastos'!$A$10:$A$13,A180)))</f>
        <v>1.1848057651828663</v>
      </c>
      <c r="L180" s="8">
        <f>IF(J180="","",IF(SUMIFS('Facturas y gastos'!$D$10:$D$13,'Facturas y gastos'!$A$10:$A$13,A180)=0,"",J180*SUMIFS('Facturas y gastos'!$H$10:$H$13,'Facturas y gastos'!$A$10:$A$13,A180)/SUMIFS('Facturas y gastos'!$D$10:$D$13,'Facturas y gastos'!$A$10:$A$13,A180)))</f>
        <v>3.5543869524808809</v>
      </c>
      <c r="M180" s="8">
        <f>IF(J180="","",IF(SUMIFS('Facturas y gastos'!$D$10:$D$13,'Facturas y gastos'!$A$10:$A$13,A180)=0,"",J180*SUMIFS('Facturas y gastos'!$I$10:$I$13,'Facturas y gastos'!$A$10:$A$13,A180)/SUMIFS('Facturas y gastos'!$D$10:$D$13,'Facturas y gastos'!$A$10:$A$13,A180)))</f>
        <v>23.971023497181967</v>
      </c>
      <c r="N180" s="8">
        <f>IF(J180="","",IF(SUMIFS('Facturas y gastos'!$D$10:$D$13,'Facturas y gastos'!$A$10:$A$13,A180)=0,"",J180*SUMIFS('Facturas y gastos'!$J$10:$J$13,'Facturas y gastos'!$A$10:$A$13,A180)/SUMIFS('Facturas y gastos'!$D$10:$D$13,'Facturas y gastos'!$A$10:$A$13,A180)))</f>
        <v>0</v>
      </c>
      <c r="O180" s="8">
        <f t="shared" si="4"/>
        <v>144.82036193993821</v>
      </c>
      <c r="P180" s="8" t="str">
        <f>IF(OR(O180="",'Facturas y gastos'!$B$24="",'Facturas y gastos'!$B$45&lt;&gt;"OK",SUM($O$8:$O$657)=0),"",O180*'Facturas y gastos'!$B$43/SUM($O$8:$O$657))</f>
        <v/>
      </c>
      <c r="Q180" s="8" t="str">
        <f>IF(OR(O180="",'Facturas y gastos'!$B$5="",P180=""),"",O180*'Facturas y gastos'!$B$5+P180)</f>
        <v/>
      </c>
      <c r="R180" s="8" t="str">
        <f t="shared" si="5"/>
        <v/>
      </c>
    </row>
    <row r="181" spans="1:18">
      <c r="A181" s="25" t="s">
        <v>60</v>
      </c>
      <c r="B181" s="25">
        <v>55</v>
      </c>
      <c r="C181" s="25" t="s">
        <v>318</v>
      </c>
      <c r="D181" s="25" t="s">
        <v>302</v>
      </c>
      <c r="E181" s="25" t="s">
        <v>108</v>
      </c>
      <c r="F181" s="27">
        <v>72</v>
      </c>
      <c r="G181" s="27">
        <v>3</v>
      </c>
      <c r="H181" s="29">
        <v>2.5099999999999998</v>
      </c>
      <c r="I181" s="29">
        <v>180.54</v>
      </c>
      <c r="J181" s="8">
        <f>IF(OR(A181="",I181=""),"",IF(SUMIFS($I$8:$I$657,$A$8:$A$657,A181)=0,"",I181*SUMIFS('Facturas y gastos'!$D$10:$D$13,'Facturas y gastos'!$A$10:$A$13,A181)/SUMIFS($I$8:$I$657,$A$8:$A$657,A181)))</f>
        <v>180.53963010550666</v>
      </c>
      <c r="K181" s="8">
        <f>IF(J181="","",IF(SUMIFS('Facturas y gastos'!$D$10:$D$13,'Facturas y gastos'!$A$10:$A$13,A181)=0,"",J181*SUMIFS('Facturas y gastos'!$G$10:$G$13,'Facturas y gastos'!$A$10:$A$13,A181)/SUMIFS('Facturas y gastos'!$D$10:$D$13,'Facturas y gastos'!$A$10:$A$13,A181)))</f>
        <v>1.8054087849942155</v>
      </c>
      <c r="L181" s="8">
        <f>IF(J181="","",IF(SUMIFS('Facturas y gastos'!$D$10:$D$13,'Facturas y gastos'!$A$10:$A$13,A181)=0,"",J181*SUMIFS('Facturas y gastos'!$H$10:$H$13,'Facturas y gastos'!$A$10:$A$13,A181)/SUMIFS('Facturas y gastos'!$D$10:$D$13,'Facturas y gastos'!$A$10:$A$13,A181)))</f>
        <v>5.4161801181709839</v>
      </c>
      <c r="M181" s="8">
        <f>IF(J181="","",IF(SUMIFS('Facturas y gastos'!$D$10:$D$13,'Facturas y gastos'!$A$10:$A$13,A181)=0,"",J181*SUMIFS('Facturas y gastos'!$I$10:$I$13,'Facturas y gastos'!$A$10:$A$13,A181)/SUMIFS('Facturas y gastos'!$D$10:$D$13,'Facturas y gastos'!$A$10:$A$13,A181)))</f>
        <v>36.527081213548549</v>
      </c>
      <c r="N181" s="8">
        <f>IF(J181="","",IF(SUMIFS('Facturas y gastos'!$D$10:$D$13,'Facturas y gastos'!$A$10:$A$13,A181)=0,"",J181*SUMIFS('Facturas y gastos'!$J$10:$J$13,'Facturas y gastos'!$A$10:$A$13,A181)/SUMIFS('Facturas y gastos'!$D$10:$D$13,'Facturas y gastos'!$A$10:$A$13,A181)))</f>
        <v>0</v>
      </c>
      <c r="O181" s="8">
        <f t="shared" si="4"/>
        <v>220.67748265223196</v>
      </c>
      <c r="P181" s="8" t="str">
        <f>IF(OR(O181="",'Facturas y gastos'!$B$24="",'Facturas y gastos'!$B$45&lt;&gt;"OK",SUM($O$8:$O$657)=0),"",O181*'Facturas y gastos'!$B$43/SUM($O$8:$O$657))</f>
        <v/>
      </c>
      <c r="Q181" s="8" t="str">
        <f>IF(OR(O181="",'Facturas y gastos'!$B$5="",P181=""),"",O181*'Facturas y gastos'!$B$5+P181)</f>
        <v/>
      </c>
      <c r="R181" s="8" t="str">
        <f t="shared" si="5"/>
        <v/>
      </c>
    </row>
    <row r="182" spans="1:18">
      <c r="A182" s="25" t="s">
        <v>60</v>
      </c>
      <c r="B182" s="25">
        <v>56</v>
      </c>
      <c r="C182" s="25" t="s">
        <v>319</v>
      </c>
      <c r="D182" s="25" t="s">
        <v>302</v>
      </c>
      <c r="E182" s="25" t="s">
        <v>108</v>
      </c>
      <c r="F182" s="27">
        <v>72</v>
      </c>
      <c r="G182" s="27">
        <v>3</v>
      </c>
      <c r="H182" s="29">
        <v>2.5099999999999998</v>
      </c>
      <c r="I182" s="29">
        <v>180.54</v>
      </c>
      <c r="J182" s="8">
        <f>IF(OR(A182="",I182=""),"",IF(SUMIFS($I$8:$I$657,$A$8:$A$657,A182)=0,"",I182*SUMIFS('Facturas y gastos'!$D$10:$D$13,'Facturas y gastos'!$A$10:$A$13,A182)/SUMIFS($I$8:$I$657,$A$8:$A$657,A182)))</f>
        <v>180.53963010550666</v>
      </c>
      <c r="K182" s="8">
        <f>IF(J182="","",IF(SUMIFS('Facturas y gastos'!$D$10:$D$13,'Facturas y gastos'!$A$10:$A$13,A182)=0,"",J182*SUMIFS('Facturas y gastos'!$G$10:$G$13,'Facturas y gastos'!$A$10:$A$13,A182)/SUMIFS('Facturas y gastos'!$D$10:$D$13,'Facturas y gastos'!$A$10:$A$13,A182)))</f>
        <v>1.8054087849942155</v>
      </c>
      <c r="L182" s="8">
        <f>IF(J182="","",IF(SUMIFS('Facturas y gastos'!$D$10:$D$13,'Facturas y gastos'!$A$10:$A$13,A182)=0,"",J182*SUMIFS('Facturas y gastos'!$H$10:$H$13,'Facturas y gastos'!$A$10:$A$13,A182)/SUMIFS('Facturas y gastos'!$D$10:$D$13,'Facturas y gastos'!$A$10:$A$13,A182)))</f>
        <v>5.4161801181709839</v>
      </c>
      <c r="M182" s="8">
        <f>IF(J182="","",IF(SUMIFS('Facturas y gastos'!$D$10:$D$13,'Facturas y gastos'!$A$10:$A$13,A182)=0,"",J182*SUMIFS('Facturas y gastos'!$I$10:$I$13,'Facturas y gastos'!$A$10:$A$13,A182)/SUMIFS('Facturas y gastos'!$D$10:$D$13,'Facturas y gastos'!$A$10:$A$13,A182)))</f>
        <v>36.527081213548549</v>
      </c>
      <c r="N182" s="8">
        <f>IF(J182="","",IF(SUMIFS('Facturas y gastos'!$D$10:$D$13,'Facturas y gastos'!$A$10:$A$13,A182)=0,"",J182*SUMIFS('Facturas y gastos'!$J$10:$J$13,'Facturas y gastos'!$A$10:$A$13,A182)/SUMIFS('Facturas y gastos'!$D$10:$D$13,'Facturas y gastos'!$A$10:$A$13,A182)))</f>
        <v>0</v>
      </c>
      <c r="O182" s="8">
        <f t="shared" si="4"/>
        <v>220.67748265223196</v>
      </c>
      <c r="P182" s="8" t="str">
        <f>IF(OR(O182="",'Facturas y gastos'!$B$24="",'Facturas y gastos'!$B$45&lt;&gt;"OK",SUM($O$8:$O$657)=0),"",O182*'Facturas y gastos'!$B$43/SUM($O$8:$O$657))</f>
        <v/>
      </c>
      <c r="Q182" s="8" t="str">
        <f>IF(OR(O182="",'Facturas y gastos'!$B$5="",P182=""),"",O182*'Facturas y gastos'!$B$5+P182)</f>
        <v/>
      </c>
      <c r="R182" s="8" t="str">
        <f t="shared" si="5"/>
        <v/>
      </c>
    </row>
    <row r="183" spans="1:18">
      <c r="A183" s="25" t="s">
        <v>60</v>
      </c>
      <c r="B183" s="25">
        <v>57</v>
      </c>
      <c r="C183" s="25" t="s">
        <v>320</v>
      </c>
      <c r="D183" s="25" t="s">
        <v>302</v>
      </c>
      <c r="E183" s="25" t="s">
        <v>108</v>
      </c>
      <c r="F183" s="27">
        <v>72</v>
      </c>
      <c r="G183" s="27">
        <v>3</v>
      </c>
      <c r="H183" s="29">
        <v>2.5099999999999998</v>
      </c>
      <c r="I183" s="29">
        <v>180.54</v>
      </c>
      <c r="J183" s="8">
        <f>IF(OR(A183="",I183=""),"",IF(SUMIFS($I$8:$I$657,$A$8:$A$657,A183)=0,"",I183*SUMIFS('Facturas y gastos'!$D$10:$D$13,'Facturas y gastos'!$A$10:$A$13,A183)/SUMIFS($I$8:$I$657,$A$8:$A$657,A183)))</f>
        <v>180.53963010550666</v>
      </c>
      <c r="K183" s="8">
        <f>IF(J183="","",IF(SUMIFS('Facturas y gastos'!$D$10:$D$13,'Facturas y gastos'!$A$10:$A$13,A183)=0,"",J183*SUMIFS('Facturas y gastos'!$G$10:$G$13,'Facturas y gastos'!$A$10:$A$13,A183)/SUMIFS('Facturas y gastos'!$D$10:$D$13,'Facturas y gastos'!$A$10:$A$13,A183)))</f>
        <v>1.8054087849942155</v>
      </c>
      <c r="L183" s="8">
        <f>IF(J183="","",IF(SUMIFS('Facturas y gastos'!$D$10:$D$13,'Facturas y gastos'!$A$10:$A$13,A183)=0,"",J183*SUMIFS('Facturas y gastos'!$H$10:$H$13,'Facturas y gastos'!$A$10:$A$13,A183)/SUMIFS('Facturas y gastos'!$D$10:$D$13,'Facturas y gastos'!$A$10:$A$13,A183)))</f>
        <v>5.4161801181709839</v>
      </c>
      <c r="M183" s="8">
        <f>IF(J183="","",IF(SUMIFS('Facturas y gastos'!$D$10:$D$13,'Facturas y gastos'!$A$10:$A$13,A183)=0,"",J183*SUMIFS('Facturas y gastos'!$I$10:$I$13,'Facturas y gastos'!$A$10:$A$13,A183)/SUMIFS('Facturas y gastos'!$D$10:$D$13,'Facturas y gastos'!$A$10:$A$13,A183)))</f>
        <v>36.527081213548549</v>
      </c>
      <c r="N183" s="8">
        <f>IF(J183="","",IF(SUMIFS('Facturas y gastos'!$D$10:$D$13,'Facturas y gastos'!$A$10:$A$13,A183)=0,"",J183*SUMIFS('Facturas y gastos'!$J$10:$J$13,'Facturas y gastos'!$A$10:$A$13,A183)/SUMIFS('Facturas y gastos'!$D$10:$D$13,'Facturas y gastos'!$A$10:$A$13,A183)))</f>
        <v>0</v>
      </c>
      <c r="O183" s="8">
        <f t="shared" si="4"/>
        <v>220.67748265223196</v>
      </c>
      <c r="P183" s="8" t="str">
        <f>IF(OR(O183="",'Facturas y gastos'!$B$24="",'Facturas y gastos'!$B$45&lt;&gt;"OK",SUM($O$8:$O$657)=0),"",O183*'Facturas y gastos'!$B$43/SUM($O$8:$O$657))</f>
        <v/>
      </c>
      <c r="Q183" s="8" t="str">
        <f>IF(OR(O183="",'Facturas y gastos'!$B$5="",P183=""),"",O183*'Facturas y gastos'!$B$5+P183)</f>
        <v/>
      </c>
      <c r="R183" s="8" t="str">
        <f t="shared" si="5"/>
        <v/>
      </c>
    </row>
    <row r="184" spans="1:18">
      <c r="A184" s="25" t="s">
        <v>60</v>
      </c>
      <c r="B184" s="25">
        <v>58</v>
      </c>
      <c r="C184" s="25" t="s">
        <v>321</v>
      </c>
      <c r="D184" s="25" t="s">
        <v>302</v>
      </c>
      <c r="E184" s="25" t="s">
        <v>108</v>
      </c>
      <c r="F184" s="27">
        <v>144</v>
      </c>
      <c r="G184" s="27">
        <v>6</v>
      </c>
      <c r="H184" s="29">
        <v>2.35</v>
      </c>
      <c r="I184" s="29">
        <v>338.51</v>
      </c>
      <c r="J184" s="8">
        <f>IF(OR(A184="",I184=""),"",IF(SUMIFS($I$8:$I$657,$A$8:$A$657,A184)=0,"",I184*SUMIFS('Facturas y gastos'!$D$10:$D$13,'Facturas y gastos'!$A$10:$A$13,A184)/SUMIFS($I$8:$I$657,$A$8:$A$657,A184)))</f>
        <v>338.50930645294699</v>
      </c>
      <c r="K184" s="8">
        <f>IF(J184="","",IF(SUMIFS('Facturas y gastos'!$D$10:$D$13,'Facturas y gastos'!$A$10:$A$13,A184)=0,"",J184*SUMIFS('Facturas y gastos'!$G$10:$G$13,'Facturas y gastos'!$A$10:$A$13,A184)/SUMIFS('Facturas y gastos'!$D$10:$D$13,'Facturas y gastos'!$A$10:$A$13,A184)))</f>
        <v>3.3851164717425046</v>
      </c>
      <c r="L184" s="8">
        <f>IF(J184="","",IF(SUMIFS('Facturas y gastos'!$D$10:$D$13,'Facturas y gastos'!$A$10:$A$13,A184)=0,"",J184*SUMIFS('Facturas y gastos'!$H$10:$H$13,'Facturas y gastos'!$A$10:$A$13,A184)/SUMIFS('Facturas y gastos'!$D$10:$D$13,'Facturas y gastos'!$A$10:$A$13,A184)))</f>
        <v>10.155262721845904</v>
      </c>
      <c r="M184" s="8">
        <f>IF(J184="","",IF(SUMIFS('Facturas y gastos'!$D$10:$D$13,'Facturas y gastos'!$A$10:$A$13,A184)=0,"",J184*SUMIFS('Facturas y gastos'!$I$10:$I$13,'Facturas y gastos'!$A$10:$A$13,A184)/SUMIFS('Facturas y gastos'!$D$10:$D$13,'Facturas y gastos'!$A$10:$A$13,A184)))</f>
        <v>68.487771472240595</v>
      </c>
      <c r="N184" s="8">
        <f>IF(J184="","",IF(SUMIFS('Facturas y gastos'!$D$10:$D$13,'Facturas y gastos'!$A$10:$A$13,A184)=0,"",J184*SUMIFS('Facturas y gastos'!$J$10:$J$13,'Facturas y gastos'!$A$10:$A$13,A184)/SUMIFS('Facturas y gastos'!$D$10:$D$13,'Facturas y gastos'!$A$10:$A$13,A184)))</f>
        <v>0</v>
      </c>
      <c r="O184" s="8">
        <f t="shared" si="4"/>
        <v>413.76722417529101</v>
      </c>
      <c r="P184" s="8" t="str">
        <f>IF(OR(O184="",'Facturas y gastos'!$B$24="",'Facturas y gastos'!$B$45&lt;&gt;"OK",SUM($O$8:$O$657)=0),"",O184*'Facturas y gastos'!$B$43/SUM($O$8:$O$657))</f>
        <v/>
      </c>
      <c r="Q184" s="8" t="str">
        <f>IF(OR(O184="",'Facturas y gastos'!$B$5="",P184=""),"",O184*'Facturas y gastos'!$B$5+P184)</f>
        <v/>
      </c>
      <c r="R184" s="8" t="str">
        <f t="shared" si="5"/>
        <v/>
      </c>
    </row>
    <row r="185" spans="1:18">
      <c r="A185" s="25" t="s">
        <v>60</v>
      </c>
      <c r="B185" s="25">
        <v>59</v>
      </c>
      <c r="C185" s="25" t="s">
        <v>322</v>
      </c>
      <c r="D185" s="25" t="s">
        <v>302</v>
      </c>
      <c r="E185" s="25" t="s">
        <v>108</v>
      </c>
      <c r="F185" s="27">
        <v>48</v>
      </c>
      <c r="G185" s="27">
        <v>3</v>
      </c>
      <c r="H185" s="29">
        <v>3.13</v>
      </c>
      <c r="I185" s="29">
        <v>150.44999999999999</v>
      </c>
      <c r="J185" s="8">
        <f>IF(OR(A185="",I185=""),"",IF(SUMIFS($I$8:$I$657,$A$8:$A$657,A185)=0,"",I185*SUMIFS('Facturas y gastos'!$D$10:$D$13,'Facturas y gastos'!$A$10:$A$13,A185)/SUMIFS($I$8:$I$657,$A$8:$A$657,A185)))</f>
        <v>150.44969175458886</v>
      </c>
      <c r="K185" s="8">
        <f>IF(J185="","",IF(SUMIFS('Facturas y gastos'!$D$10:$D$13,'Facturas y gastos'!$A$10:$A$13,A185)=0,"",J185*SUMIFS('Facturas y gastos'!$G$10:$G$13,'Facturas y gastos'!$A$10:$A$13,A185)/SUMIFS('Facturas y gastos'!$D$10:$D$13,'Facturas y gastos'!$A$10:$A$13,A185)))</f>
        <v>1.5045073208285125</v>
      </c>
      <c r="L185" s="8">
        <f>IF(J185="","",IF(SUMIFS('Facturas y gastos'!$D$10:$D$13,'Facturas y gastos'!$A$10:$A$13,A185)=0,"",J185*SUMIFS('Facturas y gastos'!$H$10:$H$13,'Facturas y gastos'!$A$10:$A$13,A185)/SUMIFS('Facturas y gastos'!$D$10:$D$13,'Facturas y gastos'!$A$10:$A$13,A185)))</f>
        <v>4.5134834318091519</v>
      </c>
      <c r="M185" s="8">
        <f>IF(J185="","",IF(SUMIFS('Facturas y gastos'!$D$10:$D$13,'Facturas y gastos'!$A$10:$A$13,A185)=0,"",J185*SUMIFS('Facturas y gastos'!$I$10:$I$13,'Facturas y gastos'!$A$10:$A$13,A185)/SUMIFS('Facturas y gastos'!$D$10:$D$13,'Facturas y gastos'!$A$10:$A$13,A185)))</f>
        <v>30.439234344623785</v>
      </c>
      <c r="N185" s="8">
        <f>IF(J185="","",IF(SUMIFS('Facturas y gastos'!$D$10:$D$13,'Facturas y gastos'!$A$10:$A$13,A185)=0,"",J185*SUMIFS('Facturas y gastos'!$J$10:$J$13,'Facturas y gastos'!$A$10:$A$13,A185)/SUMIFS('Facturas y gastos'!$D$10:$D$13,'Facturas y gastos'!$A$10:$A$13,A185)))</f>
        <v>0</v>
      </c>
      <c r="O185" s="8">
        <f t="shared" si="4"/>
        <v>183.89790221019331</v>
      </c>
      <c r="P185" s="8" t="str">
        <f>IF(OR(O185="",'Facturas y gastos'!$B$24="",'Facturas y gastos'!$B$45&lt;&gt;"OK",SUM($O$8:$O$657)=0),"",O185*'Facturas y gastos'!$B$43/SUM($O$8:$O$657))</f>
        <v/>
      </c>
      <c r="Q185" s="8" t="str">
        <f>IF(OR(O185="",'Facturas y gastos'!$B$5="",P185=""),"",O185*'Facturas y gastos'!$B$5+P185)</f>
        <v/>
      </c>
      <c r="R185" s="8" t="str">
        <f t="shared" si="5"/>
        <v/>
      </c>
    </row>
    <row r="186" spans="1:18">
      <c r="A186" s="25" t="s">
        <v>60</v>
      </c>
      <c r="B186" s="25">
        <v>60</v>
      </c>
      <c r="C186" s="25" t="s">
        <v>323</v>
      </c>
      <c r="D186" s="25" t="s">
        <v>302</v>
      </c>
      <c r="E186" s="25" t="s">
        <v>108</v>
      </c>
      <c r="F186" s="27">
        <v>36</v>
      </c>
      <c r="G186" s="27">
        <v>3</v>
      </c>
      <c r="H186" s="29">
        <v>5.49</v>
      </c>
      <c r="I186" s="29">
        <v>197.46</v>
      </c>
      <c r="J186" s="8">
        <f>IF(OR(A186="",I186=""),"",IF(SUMIFS($I$8:$I$657,$A$8:$A$657,A186)=0,"",I186*SUMIFS('Facturas y gastos'!$D$10:$D$13,'Facturas y gastos'!$A$10:$A$13,A186)/SUMIFS($I$8:$I$657,$A$8:$A$657,A186)))</f>
        <v>197.45959543942254</v>
      </c>
      <c r="K186" s="8">
        <f>IF(J186="","",IF(SUMIFS('Facturas y gastos'!$D$10:$D$13,'Facturas y gastos'!$A$10:$A$13,A186)=0,"",J186*SUMIFS('Facturas y gastos'!$G$10:$G$13,'Facturas y gastos'!$A$10:$A$13,A186)/SUMIFS('Facturas y gastos'!$D$10:$D$13,'Facturas y gastos'!$A$10:$A$13,A186)))</f>
        <v>1.9746096083137132</v>
      </c>
      <c r="L186" s="8">
        <f>IF(J186="","",IF(SUMIFS('Facturas y gastos'!$D$10:$D$13,'Facturas y gastos'!$A$10:$A$13,A186)=0,"",J186*SUMIFS('Facturas y gastos'!$H$10:$H$13,'Facturas y gastos'!$A$10:$A$13,A186)/SUMIFS('Facturas y gastos'!$D$10:$D$13,'Facturas y gastos'!$A$10:$A$13,A186)))</f>
        <v>5.9237782548689628</v>
      </c>
      <c r="M186" s="8">
        <f>IF(J186="","",IF(SUMIFS('Facturas y gastos'!$D$10:$D$13,'Facturas y gastos'!$A$10:$A$13,A186)=0,"",J186*SUMIFS('Facturas y gastos'!$I$10:$I$13,'Facturas y gastos'!$A$10:$A$13,A186)/SUMIFS('Facturas y gastos'!$D$10:$D$13,'Facturas y gastos'!$A$10:$A$13,A186)))</f>
        <v>39.950357020202155</v>
      </c>
      <c r="N186" s="8">
        <f>IF(J186="","",IF(SUMIFS('Facturas y gastos'!$D$10:$D$13,'Facturas y gastos'!$A$10:$A$13,A186)=0,"",J186*SUMIFS('Facturas y gastos'!$J$10:$J$13,'Facturas y gastos'!$A$10:$A$13,A186)/SUMIFS('Facturas y gastos'!$D$10:$D$13,'Facturas y gastos'!$A$10:$A$13,A186)))</f>
        <v>0</v>
      </c>
      <c r="O186" s="8">
        <f t="shared" si="4"/>
        <v>241.35912110617991</v>
      </c>
      <c r="P186" s="8" t="str">
        <f>IF(OR(O186="",'Facturas y gastos'!$B$24="",'Facturas y gastos'!$B$45&lt;&gt;"OK",SUM($O$8:$O$657)=0),"",O186*'Facturas y gastos'!$B$43/SUM($O$8:$O$657))</f>
        <v/>
      </c>
      <c r="Q186" s="8" t="str">
        <f>IF(OR(O186="",'Facturas y gastos'!$B$5="",P186=""),"",O186*'Facturas y gastos'!$B$5+P186)</f>
        <v/>
      </c>
      <c r="R186" s="8" t="str">
        <f t="shared" si="5"/>
        <v/>
      </c>
    </row>
    <row r="187" spans="1:18">
      <c r="A187" s="25" t="s">
        <v>60</v>
      </c>
      <c r="B187" s="25">
        <v>61</v>
      </c>
      <c r="C187" s="25" t="s">
        <v>324</v>
      </c>
      <c r="D187" s="25" t="s">
        <v>302</v>
      </c>
      <c r="E187" s="25" t="s">
        <v>108</v>
      </c>
      <c r="F187" s="27">
        <v>36</v>
      </c>
      <c r="G187" s="27">
        <v>3</v>
      </c>
      <c r="H187" s="29">
        <v>5.49</v>
      </c>
      <c r="I187" s="29">
        <v>197.46</v>
      </c>
      <c r="J187" s="8">
        <f>IF(OR(A187="",I187=""),"",IF(SUMIFS($I$8:$I$657,$A$8:$A$657,A187)=0,"",I187*SUMIFS('Facturas y gastos'!$D$10:$D$13,'Facturas y gastos'!$A$10:$A$13,A187)/SUMIFS($I$8:$I$657,$A$8:$A$657,A187)))</f>
        <v>197.45959543942254</v>
      </c>
      <c r="K187" s="8">
        <f>IF(J187="","",IF(SUMIFS('Facturas y gastos'!$D$10:$D$13,'Facturas y gastos'!$A$10:$A$13,A187)=0,"",J187*SUMIFS('Facturas y gastos'!$G$10:$G$13,'Facturas y gastos'!$A$10:$A$13,A187)/SUMIFS('Facturas y gastos'!$D$10:$D$13,'Facturas y gastos'!$A$10:$A$13,A187)))</f>
        <v>1.9746096083137132</v>
      </c>
      <c r="L187" s="8">
        <f>IF(J187="","",IF(SUMIFS('Facturas y gastos'!$D$10:$D$13,'Facturas y gastos'!$A$10:$A$13,A187)=0,"",J187*SUMIFS('Facturas y gastos'!$H$10:$H$13,'Facturas y gastos'!$A$10:$A$13,A187)/SUMIFS('Facturas y gastos'!$D$10:$D$13,'Facturas y gastos'!$A$10:$A$13,A187)))</f>
        <v>5.9237782548689628</v>
      </c>
      <c r="M187" s="8">
        <f>IF(J187="","",IF(SUMIFS('Facturas y gastos'!$D$10:$D$13,'Facturas y gastos'!$A$10:$A$13,A187)=0,"",J187*SUMIFS('Facturas y gastos'!$I$10:$I$13,'Facturas y gastos'!$A$10:$A$13,A187)/SUMIFS('Facturas y gastos'!$D$10:$D$13,'Facturas y gastos'!$A$10:$A$13,A187)))</f>
        <v>39.950357020202155</v>
      </c>
      <c r="N187" s="8">
        <f>IF(J187="","",IF(SUMIFS('Facturas y gastos'!$D$10:$D$13,'Facturas y gastos'!$A$10:$A$13,A187)=0,"",J187*SUMIFS('Facturas y gastos'!$J$10:$J$13,'Facturas y gastos'!$A$10:$A$13,A187)/SUMIFS('Facturas y gastos'!$D$10:$D$13,'Facturas y gastos'!$A$10:$A$13,A187)))</f>
        <v>0</v>
      </c>
      <c r="O187" s="8">
        <f t="shared" si="4"/>
        <v>241.35912110617991</v>
      </c>
      <c r="P187" s="8" t="str">
        <f>IF(OR(O187="",'Facturas y gastos'!$B$24="",'Facturas y gastos'!$B$45&lt;&gt;"OK",SUM($O$8:$O$657)=0),"",O187*'Facturas y gastos'!$B$43/SUM($O$8:$O$657))</f>
        <v/>
      </c>
      <c r="Q187" s="8" t="str">
        <f>IF(OR(O187="",'Facturas y gastos'!$B$5="",P187=""),"",O187*'Facturas y gastos'!$B$5+P187)</f>
        <v/>
      </c>
      <c r="R187" s="8" t="str">
        <f t="shared" si="5"/>
        <v/>
      </c>
    </row>
    <row r="188" spans="1:18">
      <c r="A188" s="25" t="s">
        <v>60</v>
      </c>
      <c r="B188" s="25">
        <v>62</v>
      </c>
      <c r="C188" s="25" t="s">
        <v>325</v>
      </c>
      <c r="D188" s="25" t="s">
        <v>302</v>
      </c>
      <c r="E188" s="25" t="s">
        <v>108</v>
      </c>
      <c r="F188" s="27">
        <v>36</v>
      </c>
      <c r="G188" s="27">
        <v>3</v>
      </c>
      <c r="H188" s="29">
        <v>5.49</v>
      </c>
      <c r="I188" s="29">
        <v>197.46</v>
      </c>
      <c r="J188" s="8">
        <f>IF(OR(A188="",I188=""),"",IF(SUMIFS($I$8:$I$657,$A$8:$A$657,A188)=0,"",I188*SUMIFS('Facturas y gastos'!$D$10:$D$13,'Facturas y gastos'!$A$10:$A$13,A188)/SUMIFS($I$8:$I$657,$A$8:$A$657,A188)))</f>
        <v>197.45959543942254</v>
      </c>
      <c r="K188" s="8">
        <f>IF(J188="","",IF(SUMIFS('Facturas y gastos'!$D$10:$D$13,'Facturas y gastos'!$A$10:$A$13,A188)=0,"",J188*SUMIFS('Facturas y gastos'!$G$10:$G$13,'Facturas y gastos'!$A$10:$A$13,A188)/SUMIFS('Facturas y gastos'!$D$10:$D$13,'Facturas y gastos'!$A$10:$A$13,A188)))</f>
        <v>1.9746096083137132</v>
      </c>
      <c r="L188" s="8">
        <f>IF(J188="","",IF(SUMIFS('Facturas y gastos'!$D$10:$D$13,'Facturas y gastos'!$A$10:$A$13,A188)=0,"",J188*SUMIFS('Facturas y gastos'!$H$10:$H$13,'Facturas y gastos'!$A$10:$A$13,A188)/SUMIFS('Facturas y gastos'!$D$10:$D$13,'Facturas y gastos'!$A$10:$A$13,A188)))</f>
        <v>5.9237782548689628</v>
      </c>
      <c r="M188" s="8">
        <f>IF(J188="","",IF(SUMIFS('Facturas y gastos'!$D$10:$D$13,'Facturas y gastos'!$A$10:$A$13,A188)=0,"",J188*SUMIFS('Facturas y gastos'!$I$10:$I$13,'Facturas y gastos'!$A$10:$A$13,A188)/SUMIFS('Facturas y gastos'!$D$10:$D$13,'Facturas y gastos'!$A$10:$A$13,A188)))</f>
        <v>39.950357020202155</v>
      </c>
      <c r="N188" s="8">
        <f>IF(J188="","",IF(SUMIFS('Facturas y gastos'!$D$10:$D$13,'Facturas y gastos'!$A$10:$A$13,A188)=0,"",J188*SUMIFS('Facturas y gastos'!$J$10:$J$13,'Facturas y gastos'!$A$10:$A$13,A188)/SUMIFS('Facturas y gastos'!$D$10:$D$13,'Facturas y gastos'!$A$10:$A$13,A188)))</f>
        <v>0</v>
      </c>
      <c r="O188" s="8">
        <f t="shared" si="4"/>
        <v>241.35912110617991</v>
      </c>
      <c r="P188" s="8" t="str">
        <f>IF(OR(O188="",'Facturas y gastos'!$B$24="",'Facturas y gastos'!$B$45&lt;&gt;"OK",SUM($O$8:$O$657)=0),"",O188*'Facturas y gastos'!$B$43/SUM($O$8:$O$657))</f>
        <v/>
      </c>
      <c r="Q188" s="8" t="str">
        <f>IF(OR(O188="",'Facturas y gastos'!$B$5="",P188=""),"",O188*'Facturas y gastos'!$B$5+P188)</f>
        <v/>
      </c>
      <c r="R188" s="8" t="str">
        <f t="shared" si="5"/>
        <v/>
      </c>
    </row>
    <row r="189" spans="1:18">
      <c r="A189" s="25" t="s">
        <v>60</v>
      </c>
      <c r="B189" s="25">
        <v>63</v>
      </c>
      <c r="C189" s="25" t="s">
        <v>326</v>
      </c>
      <c r="D189" s="25" t="s">
        <v>302</v>
      </c>
      <c r="E189" s="25" t="s">
        <v>108</v>
      </c>
      <c r="F189" s="27">
        <v>54</v>
      </c>
      <c r="G189" s="27">
        <v>6</v>
      </c>
      <c r="H189" s="29">
        <v>5.17</v>
      </c>
      <c r="I189" s="29">
        <v>279.27</v>
      </c>
      <c r="J189" s="8">
        <f>IF(OR(A189="",I189=""),"",IF(SUMIFS($I$8:$I$657,$A$8:$A$657,A189)=0,"",I189*SUMIFS('Facturas y gastos'!$D$10:$D$13,'Facturas y gastos'!$A$10:$A$13,A189)/SUMIFS($I$8:$I$657,$A$8:$A$657,A189)))</f>
        <v>279.26942782521792</v>
      </c>
      <c r="K189" s="8">
        <f>IF(J189="","",IF(SUMIFS('Facturas y gastos'!$D$10:$D$13,'Facturas y gastos'!$A$10:$A$13,A189)=0,"",J189*SUMIFS('Facturas y gastos'!$G$10:$G$13,'Facturas y gastos'!$A$10:$A$13,A189)/SUMIFS('Facturas y gastos'!$D$10:$D$13,'Facturas y gastos'!$A$10:$A$13,A189)))</f>
        <v>2.7927135891510719</v>
      </c>
      <c r="L189" s="8">
        <f>IF(J189="","",IF(SUMIFS('Facturas y gastos'!$D$10:$D$13,'Facturas y gastos'!$A$10:$A$13,A189)=0,"",J189*SUMIFS('Facturas y gastos'!$H$10:$H$13,'Facturas y gastos'!$A$10:$A$13,A189)/SUMIFS('Facturas y gastos'!$D$10:$D$13,'Facturas y gastos'!$A$10:$A$13,A189)))</f>
        <v>8.3780692456054648</v>
      </c>
      <c r="M189" s="8">
        <f>IF(J189="","",IF(SUMIFS('Facturas y gastos'!$D$10:$D$13,'Facturas y gastos'!$A$10:$A$13,A189)=0,"",J189*SUMIFS('Facturas y gastos'!$I$10:$I$13,'Facturas y gastos'!$A$10:$A$13,A189)/SUMIFS('Facturas y gastos'!$D$10:$D$13,'Facturas y gastos'!$A$10:$A$13,A189)))</f>
        <v>56.502259723649615</v>
      </c>
      <c r="N189" s="8">
        <f>IF(J189="","",IF(SUMIFS('Facturas y gastos'!$D$10:$D$13,'Facturas y gastos'!$A$10:$A$13,A189)=0,"",J189*SUMIFS('Facturas y gastos'!$J$10:$J$13,'Facturas y gastos'!$A$10:$A$13,A189)/SUMIFS('Facturas y gastos'!$D$10:$D$13,'Facturas y gastos'!$A$10:$A$13,A189)))</f>
        <v>0</v>
      </c>
      <c r="O189" s="8">
        <f t="shared" si="4"/>
        <v>341.35704320532193</v>
      </c>
      <c r="P189" s="8" t="str">
        <f>IF(OR(O189="",'Facturas y gastos'!$B$24="",'Facturas y gastos'!$B$45&lt;&gt;"OK",SUM($O$8:$O$657)=0),"",O189*'Facturas y gastos'!$B$43/SUM($O$8:$O$657))</f>
        <v/>
      </c>
      <c r="Q189" s="8" t="str">
        <f>IF(OR(O189="",'Facturas y gastos'!$B$5="",P189=""),"",O189*'Facturas y gastos'!$B$5+P189)</f>
        <v/>
      </c>
      <c r="R189" s="8" t="str">
        <f t="shared" si="5"/>
        <v/>
      </c>
    </row>
    <row r="190" spans="1:18">
      <c r="A190" s="25" t="s">
        <v>60</v>
      </c>
      <c r="B190" s="25">
        <v>64</v>
      </c>
      <c r="C190" s="25" t="s">
        <v>327</v>
      </c>
      <c r="D190" s="25" t="s">
        <v>302</v>
      </c>
      <c r="E190" s="25" t="s">
        <v>108</v>
      </c>
      <c r="F190" s="27">
        <v>36</v>
      </c>
      <c r="G190" s="27">
        <v>3</v>
      </c>
      <c r="H190" s="29">
        <v>5.8</v>
      </c>
      <c r="I190" s="29">
        <v>208.75</v>
      </c>
      <c r="J190" s="8">
        <f>IF(OR(A190="",I190=""),"",IF(SUMIFS($I$8:$I$657,$A$8:$A$657,A190)=0,"",I190*SUMIFS('Facturas y gastos'!$D$10:$D$13,'Facturas y gastos'!$A$10:$A$13,A190)/SUMIFS($I$8:$I$657,$A$8:$A$657,A190)))</f>
        <v>208.74957230821155</v>
      </c>
      <c r="K190" s="8">
        <f>IF(J190="","",IF(SUMIFS('Facturas y gastos'!$D$10:$D$13,'Facturas y gastos'!$A$10:$A$13,A190)=0,"",J190*SUMIFS('Facturas y gastos'!$G$10:$G$13,'Facturas y gastos'!$A$10:$A$13,A190)/SUMIFS('Facturas y gastos'!$D$10:$D$13,'Facturas y gastos'!$A$10:$A$13,A190)))</f>
        <v>2.0875101576799735</v>
      </c>
      <c r="L190" s="8">
        <f>IF(J190="","",IF(SUMIFS('Facturas y gastos'!$D$10:$D$13,'Facturas y gastos'!$A$10:$A$13,A190)=0,"",J190*SUMIFS('Facturas y gastos'!$H$10:$H$13,'Facturas y gastos'!$A$10:$A$13,A190)/SUMIFS('Facturas y gastos'!$D$10:$D$13,'Facturas y gastos'!$A$10:$A$13,A190)))</f>
        <v>6.2624770115663724</v>
      </c>
      <c r="M190" s="8">
        <f>IF(J190="","",IF(SUMIFS('Facturas y gastos'!$D$10:$D$13,'Facturas y gastos'!$A$10:$A$13,A190)=0,"",J190*SUMIFS('Facturas y gastos'!$I$10:$I$13,'Facturas y gastos'!$A$10:$A$13,A190)/SUMIFS('Facturas y gastos'!$D$10:$D$13,'Facturas y gastos'!$A$10:$A$13,A190)))</f>
        <v>42.234564103956238</v>
      </c>
      <c r="N190" s="8">
        <f>IF(J190="","",IF(SUMIFS('Facturas y gastos'!$D$10:$D$13,'Facturas y gastos'!$A$10:$A$13,A190)=0,"",J190*SUMIFS('Facturas y gastos'!$J$10:$J$13,'Facturas y gastos'!$A$10:$A$13,A190)/SUMIFS('Facturas y gastos'!$D$10:$D$13,'Facturas y gastos'!$A$10:$A$13,A190)))</f>
        <v>0</v>
      </c>
      <c r="O190" s="8">
        <f t="shared" si="4"/>
        <v>255.15910326605419</v>
      </c>
      <c r="P190" s="8" t="str">
        <f>IF(OR(O190="",'Facturas y gastos'!$B$24="",'Facturas y gastos'!$B$45&lt;&gt;"OK",SUM($O$8:$O$657)=0),"",O190*'Facturas y gastos'!$B$43/SUM($O$8:$O$657))</f>
        <v/>
      </c>
      <c r="Q190" s="8" t="str">
        <f>IF(OR(O190="",'Facturas y gastos'!$B$5="",P190=""),"",O190*'Facturas y gastos'!$B$5+P190)</f>
        <v/>
      </c>
      <c r="R190" s="8" t="str">
        <f t="shared" si="5"/>
        <v/>
      </c>
    </row>
    <row r="191" spans="1:18">
      <c r="A191" s="25" t="s">
        <v>60</v>
      </c>
      <c r="B191" s="25">
        <v>65</v>
      </c>
      <c r="C191" s="25" t="s">
        <v>328</v>
      </c>
      <c r="D191" s="25" t="s">
        <v>302</v>
      </c>
      <c r="E191" s="25" t="s">
        <v>108</v>
      </c>
      <c r="F191" s="27">
        <v>36</v>
      </c>
      <c r="G191" s="27">
        <v>3</v>
      </c>
      <c r="H191" s="29">
        <v>5.8</v>
      </c>
      <c r="I191" s="29">
        <v>208.75</v>
      </c>
      <c r="J191" s="8">
        <f>IF(OR(A191="",I191=""),"",IF(SUMIFS($I$8:$I$657,$A$8:$A$657,A191)=0,"",I191*SUMIFS('Facturas y gastos'!$D$10:$D$13,'Facturas y gastos'!$A$10:$A$13,A191)/SUMIFS($I$8:$I$657,$A$8:$A$657,A191)))</f>
        <v>208.74957230821155</v>
      </c>
      <c r="K191" s="8">
        <f>IF(J191="","",IF(SUMIFS('Facturas y gastos'!$D$10:$D$13,'Facturas y gastos'!$A$10:$A$13,A191)=0,"",J191*SUMIFS('Facturas y gastos'!$G$10:$G$13,'Facturas y gastos'!$A$10:$A$13,A191)/SUMIFS('Facturas y gastos'!$D$10:$D$13,'Facturas y gastos'!$A$10:$A$13,A191)))</f>
        <v>2.0875101576799735</v>
      </c>
      <c r="L191" s="8">
        <f>IF(J191="","",IF(SUMIFS('Facturas y gastos'!$D$10:$D$13,'Facturas y gastos'!$A$10:$A$13,A191)=0,"",J191*SUMIFS('Facturas y gastos'!$H$10:$H$13,'Facturas y gastos'!$A$10:$A$13,A191)/SUMIFS('Facturas y gastos'!$D$10:$D$13,'Facturas y gastos'!$A$10:$A$13,A191)))</f>
        <v>6.2624770115663724</v>
      </c>
      <c r="M191" s="8">
        <f>IF(J191="","",IF(SUMIFS('Facturas y gastos'!$D$10:$D$13,'Facturas y gastos'!$A$10:$A$13,A191)=0,"",J191*SUMIFS('Facturas y gastos'!$I$10:$I$13,'Facturas y gastos'!$A$10:$A$13,A191)/SUMIFS('Facturas y gastos'!$D$10:$D$13,'Facturas y gastos'!$A$10:$A$13,A191)))</f>
        <v>42.234564103956238</v>
      </c>
      <c r="N191" s="8">
        <f>IF(J191="","",IF(SUMIFS('Facturas y gastos'!$D$10:$D$13,'Facturas y gastos'!$A$10:$A$13,A191)=0,"",J191*SUMIFS('Facturas y gastos'!$J$10:$J$13,'Facturas y gastos'!$A$10:$A$13,A191)/SUMIFS('Facturas y gastos'!$D$10:$D$13,'Facturas y gastos'!$A$10:$A$13,A191)))</f>
        <v>0</v>
      </c>
      <c r="O191" s="8">
        <f t="shared" si="4"/>
        <v>255.15910326605419</v>
      </c>
      <c r="P191" s="8" t="str">
        <f>IF(OR(O191="",'Facturas y gastos'!$B$24="",'Facturas y gastos'!$B$45&lt;&gt;"OK",SUM($O$8:$O$657)=0),"",O191*'Facturas y gastos'!$B$43/SUM($O$8:$O$657))</f>
        <v/>
      </c>
      <c r="Q191" s="8" t="str">
        <f>IF(OR(O191="",'Facturas y gastos'!$B$5="",P191=""),"",O191*'Facturas y gastos'!$B$5+P191)</f>
        <v/>
      </c>
      <c r="R191" s="8" t="str">
        <f t="shared" si="5"/>
        <v/>
      </c>
    </row>
    <row r="192" spans="1:18">
      <c r="A192" s="25" t="s">
        <v>60</v>
      </c>
      <c r="B192" s="25">
        <v>66</v>
      </c>
      <c r="C192" s="25" t="s">
        <v>329</v>
      </c>
      <c r="D192" s="25" t="s">
        <v>302</v>
      </c>
      <c r="E192" s="25" t="s">
        <v>108</v>
      </c>
      <c r="F192" s="27">
        <v>72</v>
      </c>
      <c r="G192" s="27">
        <v>3</v>
      </c>
      <c r="H192" s="29">
        <v>2.19</v>
      </c>
      <c r="I192" s="29">
        <v>157.97</v>
      </c>
      <c r="J192" s="8">
        <f>IF(OR(A192="",I192=""),"",IF(SUMIFS($I$8:$I$657,$A$8:$A$657,A192)=0,"",I192*SUMIFS('Facturas y gastos'!$D$10:$D$13,'Facturas y gastos'!$A$10:$A$13,A192)/SUMIFS($I$8:$I$657,$A$8:$A$657,A192)))</f>
        <v>157.96967634744038</v>
      </c>
      <c r="K192" s="8">
        <f>IF(J192="","",IF(SUMIFS('Facturas y gastos'!$D$10:$D$13,'Facturas y gastos'!$A$10:$A$13,A192)=0,"",J192*SUMIFS('Facturas y gastos'!$G$10:$G$13,'Facturas y gastos'!$A$10:$A$13,A192)/SUMIFS('Facturas y gastos'!$D$10:$D$13,'Facturas y gastos'!$A$10:$A$13,A192)))</f>
        <v>1.5797076867482895</v>
      </c>
      <c r="L192" s="8">
        <f>IF(J192="","",IF(SUMIFS('Facturas y gastos'!$D$10:$D$13,'Facturas y gastos'!$A$10:$A$13,A192)=0,"",J192*SUMIFS('Facturas y gastos'!$H$10:$H$13,'Facturas y gastos'!$A$10:$A$13,A192)/SUMIFS('Facturas y gastos'!$D$10:$D$13,'Facturas y gastos'!$A$10:$A$13,A192)))</f>
        <v>4.7390826036749214</v>
      </c>
      <c r="M192" s="8">
        <f>IF(J192="","",IF(SUMIFS('Facturas y gastos'!$D$10:$D$13,'Facturas y gastos'!$A$10:$A$13,A192)=0,"",J192*SUMIFS('Facturas y gastos'!$I$10:$I$13,'Facturas y gastos'!$A$10:$A$13,A192)/SUMIFS('Facturas y gastos'!$D$10:$D$13,'Facturas y gastos'!$A$10:$A$13,A192)))</f>
        <v>31.960690258692054</v>
      </c>
      <c r="N192" s="8">
        <f>IF(J192="","",IF(SUMIFS('Facturas y gastos'!$D$10:$D$13,'Facturas y gastos'!$A$10:$A$13,A192)=0,"",J192*SUMIFS('Facturas y gastos'!$J$10:$J$13,'Facturas y gastos'!$A$10:$A$13,A192)/SUMIFS('Facturas y gastos'!$D$10:$D$13,'Facturas y gastos'!$A$10:$A$13,A192)))</f>
        <v>0</v>
      </c>
      <c r="O192" s="8">
        <f t="shared" si="4"/>
        <v>193.08974152305905</v>
      </c>
      <c r="P192" s="8" t="str">
        <f>IF(OR(O192="",'Facturas y gastos'!$B$24="",'Facturas y gastos'!$B$45&lt;&gt;"OK",SUM($O$8:$O$657)=0),"",O192*'Facturas y gastos'!$B$43/SUM($O$8:$O$657))</f>
        <v/>
      </c>
      <c r="Q192" s="8" t="str">
        <f>IF(OR(O192="",'Facturas y gastos'!$B$5="",P192=""),"",O192*'Facturas y gastos'!$B$5+P192)</f>
        <v/>
      </c>
      <c r="R192" s="8" t="str">
        <f t="shared" si="5"/>
        <v/>
      </c>
    </row>
    <row r="193" spans="1:18">
      <c r="A193" s="25" t="s">
        <v>60</v>
      </c>
      <c r="B193" s="25">
        <v>67</v>
      </c>
      <c r="C193" s="25" t="s">
        <v>330</v>
      </c>
      <c r="D193" s="25" t="s">
        <v>302</v>
      </c>
      <c r="E193" s="25" t="s">
        <v>108</v>
      </c>
      <c r="F193" s="27">
        <v>72</v>
      </c>
      <c r="G193" s="27">
        <v>3</v>
      </c>
      <c r="H193" s="29">
        <v>2.04</v>
      </c>
      <c r="I193" s="29">
        <v>146.69</v>
      </c>
      <c r="J193" s="8">
        <f>IF(OR(A193="",I193=""),"",IF(SUMIFS($I$8:$I$657,$A$8:$A$657,A193)=0,"",I193*SUMIFS('Facturas y gastos'!$D$10:$D$13,'Facturas y gastos'!$A$10:$A$13,A193)/SUMIFS($I$8:$I$657,$A$8:$A$657,A193)))</f>
        <v>146.68969945816312</v>
      </c>
      <c r="K193" s="8">
        <f>IF(J193="","",IF(SUMIFS('Facturas y gastos'!$D$10:$D$13,'Facturas y gastos'!$A$10:$A$13,A193)=0,"",J193*SUMIFS('Facturas y gastos'!$G$10:$G$13,'Facturas y gastos'!$A$10:$A$13,A193)/SUMIFS('Facturas y gastos'!$D$10:$D$13,'Facturas y gastos'!$A$10:$A$13,A193)))</f>
        <v>1.4669071378686243</v>
      </c>
      <c r="L193" s="8">
        <f>IF(J193="","",IF(SUMIFS('Facturas y gastos'!$D$10:$D$13,'Facturas y gastos'!$A$10:$A$13,A193)=0,"",J193*SUMIFS('Facturas y gastos'!$H$10:$H$13,'Facturas y gastos'!$A$10:$A$13,A193)/SUMIFS('Facturas y gastos'!$D$10:$D$13,'Facturas y gastos'!$A$10:$A$13,A193)))</f>
        <v>4.4006838458762685</v>
      </c>
      <c r="M193" s="8">
        <f>IF(J193="","",IF(SUMIFS('Facturas y gastos'!$D$10:$D$13,'Facturas y gastos'!$A$10:$A$13,A193)=0,"",J193*SUMIFS('Facturas y gastos'!$I$10:$I$13,'Facturas y gastos'!$A$10:$A$13,A193)/SUMIFS('Facturas y gastos'!$D$10:$D$13,'Facturas y gastos'!$A$10:$A$13,A193)))</f>
        <v>29.678506387589653</v>
      </c>
      <c r="N193" s="8">
        <f>IF(J193="","",IF(SUMIFS('Facturas y gastos'!$D$10:$D$13,'Facturas y gastos'!$A$10:$A$13,A193)=0,"",J193*SUMIFS('Facturas y gastos'!$J$10:$J$13,'Facturas y gastos'!$A$10:$A$13,A193)/SUMIFS('Facturas y gastos'!$D$10:$D$13,'Facturas y gastos'!$A$10:$A$13,A193)))</f>
        <v>0</v>
      </c>
      <c r="O193" s="8">
        <f t="shared" si="4"/>
        <v>179.30198255376044</v>
      </c>
      <c r="P193" s="8" t="str">
        <f>IF(OR(O193="",'Facturas y gastos'!$B$24="",'Facturas y gastos'!$B$45&lt;&gt;"OK",SUM($O$8:$O$657)=0),"",O193*'Facturas y gastos'!$B$43/SUM($O$8:$O$657))</f>
        <v/>
      </c>
      <c r="Q193" s="8" t="str">
        <f>IF(OR(O193="",'Facturas y gastos'!$B$5="",P193=""),"",O193*'Facturas y gastos'!$B$5+P193)</f>
        <v/>
      </c>
      <c r="R193" s="8" t="str">
        <f t="shared" si="5"/>
        <v/>
      </c>
    </row>
    <row r="194" spans="1:18">
      <c r="A194" s="25" t="s">
        <v>60</v>
      </c>
      <c r="B194" s="25">
        <v>68</v>
      </c>
      <c r="C194" s="25" t="s">
        <v>331</v>
      </c>
      <c r="D194" s="25" t="s">
        <v>302</v>
      </c>
      <c r="E194" s="25" t="s">
        <v>108</v>
      </c>
      <c r="F194" s="27">
        <v>72</v>
      </c>
      <c r="G194" s="27">
        <v>3</v>
      </c>
      <c r="H194" s="29">
        <v>1.96</v>
      </c>
      <c r="I194" s="29">
        <v>141.04</v>
      </c>
      <c r="J194" s="8">
        <f>IF(OR(A194="",I194=""),"",IF(SUMIFS($I$8:$I$657,$A$8:$A$657,A194)=0,"",I194*SUMIFS('Facturas y gastos'!$D$10:$D$13,'Facturas y gastos'!$A$10:$A$13,A194)/SUMIFS($I$8:$I$657,$A$8:$A$657,A194)))</f>
        <v>141.03971103401273</v>
      </c>
      <c r="K194" s="8">
        <f>IF(J194="","",IF(SUMIFS('Facturas y gastos'!$D$10:$D$13,'Facturas y gastos'!$A$10:$A$13,A194)=0,"",J194*SUMIFS('Facturas y gastos'!$G$10:$G$13,'Facturas y gastos'!$A$10:$A$13,A194)/SUMIFS('Facturas y gastos'!$D$10:$D$13,'Facturas y gastos'!$A$10:$A$13,A194)))</f>
        <v>1.4104068629421964</v>
      </c>
      <c r="L194" s="8">
        <f>IF(J194="","",IF(SUMIFS('Facturas y gastos'!$D$10:$D$13,'Facturas y gastos'!$A$10:$A$13,A194)=0,"",J194*SUMIFS('Facturas y gastos'!$H$10:$H$13,'Facturas y gastos'!$A$10:$A$13,A194)/SUMIFS('Facturas y gastos'!$D$10:$D$13,'Facturas y gastos'!$A$10:$A$13,A194)))</f>
        <v>4.2311844680781849</v>
      </c>
      <c r="M194" s="8">
        <f>IF(J194="","",IF(SUMIFS('Facturas y gastos'!$D$10:$D$13,'Facturas y gastos'!$A$10:$A$13,A194)=0,"",J194*SUMIFS('Facturas y gastos'!$I$10:$I$13,'Facturas y gastos'!$A$10:$A$13,A194)/SUMIFS('Facturas y gastos'!$D$10:$D$13,'Facturas y gastos'!$A$10:$A$13,A194)))</f>
        <v>28.535391239386765</v>
      </c>
      <c r="N194" s="8">
        <f>IF(J194="","",IF(SUMIFS('Facturas y gastos'!$D$10:$D$13,'Facturas y gastos'!$A$10:$A$13,A194)=0,"",J194*SUMIFS('Facturas y gastos'!$J$10:$J$13,'Facturas y gastos'!$A$10:$A$13,A194)/SUMIFS('Facturas y gastos'!$D$10:$D$13,'Facturas y gastos'!$A$10:$A$13,A194)))</f>
        <v>0</v>
      </c>
      <c r="O194" s="8">
        <f t="shared" si="4"/>
        <v>172.39587987853548</v>
      </c>
      <c r="P194" s="8" t="str">
        <f>IF(OR(O194="",'Facturas y gastos'!$B$24="",'Facturas y gastos'!$B$45&lt;&gt;"OK",SUM($O$8:$O$657)=0),"",O194*'Facturas y gastos'!$B$43/SUM($O$8:$O$657))</f>
        <v/>
      </c>
      <c r="Q194" s="8" t="str">
        <f>IF(OR(O194="",'Facturas y gastos'!$B$5="",P194=""),"",O194*'Facturas y gastos'!$B$5+P194)</f>
        <v/>
      </c>
      <c r="R194" s="8" t="str">
        <f t="shared" si="5"/>
        <v/>
      </c>
    </row>
    <row r="195" spans="1:18">
      <c r="A195" s="25" t="s">
        <v>60</v>
      </c>
      <c r="B195" s="25">
        <v>69</v>
      </c>
      <c r="C195" s="25" t="s">
        <v>332</v>
      </c>
      <c r="D195" s="25" t="s">
        <v>302</v>
      </c>
      <c r="E195" s="25" t="s">
        <v>108</v>
      </c>
      <c r="F195" s="27">
        <v>72</v>
      </c>
      <c r="G195" s="27">
        <v>3</v>
      </c>
      <c r="H195" s="29">
        <v>1.8</v>
      </c>
      <c r="I195" s="29">
        <v>129.76</v>
      </c>
      <c r="J195" s="8">
        <f>IF(OR(A195="",I195=""),"",IF(SUMIFS($I$8:$I$657,$A$8:$A$657,A195)=0,"",I195*SUMIFS('Facturas y gastos'!$D$10:$D$13,'Facturas y gastos'!$A$10:$A$13,A195)/SUMIFS($I$8:$I$657,$A$8:$A$657,A195)))</f>
        <v>129.75973414473546</v>
      </c>
      <c r="K195" s="8">
        <f>IF(J195="","",IF(SUMIFS('Facturas y gastos'!$D$10:$D$13,'Facturas y gastos'!$A$10:$A$13,A195)=0,"",J195*SUMIFS('Facturas y gastos'!$G$10:$G$13,'Facturas y gastos'!$A$10:$A$13,A195)/SUMIFS('Facturas y gastos'!$D$10:$D$13,'Facturas y gastos'!$A$10:$A$13,A195)))</f>
        <v>1.2976063140625311</v>
      </c>
      <c r="L195" s="8">
        <f>IF(J195="","",IF(SUMIFS('Facturas y gastos'!$D$10:$D$13,'Facturas y gastos'!$A$10:$A$13,A195)=0,"",J195*SUMIFS('Facturas y gastos'!$H$10:$H$13,'Facturas y gastos'!$A$10:$A$13,A195)/SUMIFS('Facturas y gastos'!$D$10:$D$13,'Facturas y gastos'!$A$10:$A$13,A195)))</f>
        <v>3.892785710279532</v>
      </c>
      <c r="M195" s="8">
        <f>IF(J195="","",IF(SUMIFS('Facturas y gastos'!$D$10:$D$13,'Facturas y gastos'!$A$10:$A$13,A195)=0,"",J195*SUMIFS('Facturas y gastos'!$I$10:$I$13,'Facturas y gastos'!$A$10:$A$13,A195)/SUMIFS('Facturas y gastos'!$D$10:$D$13,'Facturas y gastos'!$A$10:$A$13,A195)))</f>
        <v>26.253207368284365</v>
      </c>
      <c r="N195" s="8">
        <f>IF(J195="","",IF(SUMIFS('Facturas y gastos'!$D$10:$D$13,'Facturas y gastos'!$A$10:$A$13,A195)=0,"",J195*SUMIFS('Facturas y gastos'!$J$10:$J$13,'Facturas y gastos'!$A$10:$A$13,A195)/SUMIFS('Facturas y gastos'!$D$10:$D$13,'Facturas y gastos'!$A$10:$A$13,A195)))</f>
        <v>0</v>
      </c>
      <c r="O195" s="8">
        <f t="shared" si="4"/>
        <v>158.60812090923682</v>
      </c>
      <c r="P195" s="8" t="str">
        <f>IF(OR(O195="",'Facturas y gastos'!$B$24="",'Facturas y gastos'!$B$45&lt;&gt;"OK",SUM($O$8:$O$657)=0),"",O195*'Facturas y gastos'!$B$43/SUM($O$8:$O$657))</f>
        <v/>
      </c>
      <c r="Q195" s="8" t="str">
        <f>IF(OR(O195="",'Facturas y gastos'!$B$5="",P195=""),"",O195*'Facturas y gastos'!$B$5+P195)</f>
        <v/>
      </c>
      <c r="R195" s="8" t="str">
        <f t="shared" si="5"/>
        <v/>
      </c>
    </row>
    <row r="196" spans="1:18">
      <c r="A196" s="25" t="s">
        <v>60</v>
      </c>
      <c r="B196" s="25">
        <v>70</v>
      </c>
      <c r="C196" s="25" t="s">
        <v>333</v>
      </c>
      <c r="D196" s="25" t="s">
        <v>302</v>
      </c>
      <c r="E196" s="25" t="s">
        <v>108</v>
      </c>
      <c r="F196" s="27">
        <v>48</v>
      </c>
      <c r="G196" s="27">
        <v>3</v>
      </c>
      <c r="H196" s="29">
        <v>3.13</v>
      </c>
      <c r="I196" s="29">
        <v>150.44999999999999</v>
      </c>
      <c r="J196" s="8">
        <f>IF(OR(A196="",I196=""),"",IF(SUMIFS($I$8:$I$657,$A$8:$A$657,A196)=0,"",I196*SUMIFS('Facturas y gastos'!$D$10:$D$13,'Facturas y gastos'!$A$10:$A$13,A196)/SUMIFS($I$8:$I$657,$A$8:$A$657,A196)))</f>
        <v>150.44969175458886</v>
      </c>
      <c r="K196" s="8">
        <f>IF(J196="","",IF(SUMIFS('Facturas y gastos'!$D$10:$D$13,'Facturas y gastos'!$A$10:$A$13,A196)=0,"",J196*SUMIFS('Facturas y gastos'!$G$10:$G$13,'Facturas y gastos'!$A$10:$A$13,A196)/SUMIFS('Facturas y gastos'!$D$10:$D$13,'Facturas y gastos'!$A$10:$A$13,A196)))</f>
        <v>1.5045073208285125</v>
      </c>
      <c r="L196" s="8">
        <f>IF(J196="","",IF(SUMIFS('Facturas y gastos'!$D$10:$D$13,'Facturas y gastos'!$A$10:$A$13,A196)=0,"",J196*SUMIFS('Facturas y gastos'!$H$10:$H$13,'Facturas y gastos'!$A$10:$A$13,A196)/SUMIFS('Facturas y gastos'!$D$10:$D$13,'Facturas y gastos'!$A$10:$A$13,A196)))</f>
        <v>4.5134834318091519</v>
      </c>
      <c r="M196" s="8">
        <f>IF(J196="","",IF(SUMIFS('Facturas y gastos'!$D$10:$D$13,'Facturas y gastos'!$A$10:$A$13,A196)=0,"",J196*SUMIFS('Facturas y gastos'!$I$10:$I$13,'Facturas y gastos'!$A$10:$A$13,A196)/SUMIFS('Facturas y gastos'!$D$10:$D$13,'Facturas y gastos'!$A$10:$A$13,A196)))</f>
        <v>30.439234344623785</v>
      </c>
      <c r="N196" s="8">
        <f>IF(J196="","",IF(SUMIFS('Facturas y gastos'!$D$10:$D$13,'Facturas y gastos'!$A$10:$A$13,A196)=0,"",J196*SUMIFS('Facturas y gastos'!$J$10:$J$13,'Facturas y gastos'!$A$10:$A$13,A196)/SUMIFS('Facturas y gastos'!$D$10:$D$13,'Facturas y gastos'!$A$10:$A$13,A196)))</f>
        <v>0</v>
      </c>
      <c r="O196" s="8">
        <f t="shared" si="4"/>
        <v>183.89790221019331</v>
      </c>
      <c r="P196" s="8" t="str">
        <f>IF(OR(O196="",'Facturas y gastos'!$B$24="",'Facturas y gastos'!$B$45&lt;&gt;"OK",SUM($O$8:$O$657)=0),"",O196*'Facturas y gastos'!$B$43/SUM($O$8:$O$657))</f>
        <v/>
      </c>
      <c r="Q196" s="8" t="str">
        <f>IF(OR(O196="",'Facturas y gastos'!$B$5="",P196=""),"",O196*'Facturas y gastos'!$B$5+P196)</f>
        <v/>
      </c>
      <c r="R196" s="8" t="str">
        <f t="shared" si="5"/>
        <v/>
      </c>
    </row>
    <row r="197" spans="1:18">
      <c r="A197" s="25" t="s">
        <v>60</v>
      </c>
      <c r="B197" s="25">
        <v>71</v>
      </c>
      <c r="C197" s="25" t="s">
        <v>334</v>
      </c>
      <c r="D197" s="25" t="s">
        <v>302</v>
      </c>
      <c r="E197" s="25" t="s">
        <v>108</v>
      </c>
      <c r="F197" s="27">
        <v>48</v>
      </c>
      <c r="G197" s="27">
        <v>3</v>
      </c>
      <c r="H197" s="29">
        <v>3.45</v>
      </c>
      <c r="I197" s="29">
        <v>165.49</v>
      </c>
      <c r="J197" s="8">
        <f>IF(OR(A197="",I197=""),"",IF(SUMIFS($I$8:$I$657,$A$8:$A$657,A197)=0,"",I197*SUMIFS('Facturas y gastos'!$D$10:$D$13,'Facturas y gastos'!$A$10:$A$13,A197)/SUMIFS($I$8:$I$657,$A$8:$A$657,A197)))</f>
        <v>165.48966094029188</v>
      </c>
      <c r="K197" s="8">
        <f>IF(J197="","",IF(SUMIFS('Facturas y gastos'!$D$10:$D$13,'Facturas y gastos'!$A$10:$A$13,A197)=0,"",J197*SUMIFS('Facturas y gastos'!$G$10:$G$13,'Facturas y gastos'!$A$10:$A$13,A197)/SUMIFS('Facturas y gastos'!$D$10:$D$13,'Facturas y gastos'!$A$10:$A$13,A197)))</f>
        <v>1.6549080526680664</v>
      </c>
      <c r="L197" s="8">
        <f>IF(J197="","",IF(SUMIFS('Facturas y gastos'!$D$10:$D$13,'Facturas y gastos'!$A$10:$A$13,A197)=0,"",J197*SUMIFS('Facturas y gastos'!$H$10:$H$13,'Facturas y gastos'!$A$10:$A$13,A197)/SUMIFS('Facturas y gastos'!$D$10:$D$13,'Facturas y gastos'!$A$10:$A$13,A197)))</f>
        <v>4.96468177554069</v>
      </c>
      <c r="M197" s="8">
        <f>IF(J197="","",IF(SUMIFS('Facturas y gastos'!$D$10:$D$13,'Facturas y gastos'!$A$10:$A$13,A197)=0,"",J197*SUMIFS('Facturas y gastos'!$I$10:$I$13,'Facturas y gastos'!$A$10:$A$13,A197)/SUMIFS('Facturas y gastos'!$D$10:$D$13,'Facturas y gastos'!$A$10:$A$13,A197)))</f>
        <v>33.482146172760324</v>
      </c>
      <c r="N197" s="8">
        <f>IF(J197="","",IF(SUMIFS('Facturas y gastos'!$D$10:$D$13,'Facturas y gastos'!$A$10:$A$13,A197)=0,"",J197*SUMIFS('Facturas y gastos'!$J$10:$J$13,'Facturas y gastos'!$A$10:$A$13,A197)/SUMIFS('Facturas y gastos'!$D$10:$D$13,'Facturas y gastos'!$A$10:$A$13,A197)))</f>
        <v>0</v>
      </c>
      <c r="O197" s="8">
        <f t="shared" si="4"/>
        <v>202.28158083592484</v>
      </c>
      <c r="P197" s="8" t="str">
        <f>IF(OR(O197="",'Facturas y gastos'!$B$24="",'Facturas y gastos'!$B$45&lt;&gt;"OK",SUM($O$8:$O$657)=0),"",O197*'Facturas y gastos'!$B$43/SUM($O$8:$O$657))</f>
        <v/>
      </c>
      <c r="Q197" s="8" t="str">
        <f>IF(OR(O197="",'Facturas y gastos'!$B$5="",P197=""),"",O197*'Facturas y gastos'!$B$5+P197)</f>
        <v/>
      </c>
      <c r="R197" s="8" t="str">
        <f t="shared" si="5"/>
        <v/>
      </c>
    </row>
    <row r="198" spans="1:18">
      <c r="A198" s="25" t="s">
        <v>60</v>
      </c>
      <c r="B198" s="25">
        <v>72</v>
      </c>
      <c r="C198" s="25" t="s">
        <v>335</v>
      </c>
      <c r="D198" s="25" t="s">
        <v>302</v>
      </c>
      <c r="E198" s="25" t="s">
        <v>108</v>
      </c>
      <c r="F198" s="27">
        <v>108</v>
      </c>
      <c r="G198" s="27">
        <v>3</v>
      </c>
      <c r="H198" s="29">
        <v>1.36</v>
      </c>
      <c r="I198" s="29">
        <v>147.25</v>
      </c>
      <c r="J198" s="8">
        <f>IF(OR(A198="",I198=""),"",IF(SUMIFS($I$8:$I$657,$A$8:$A$657,A198)=0,"",I198*SUMIFS('Facturas y gastos'!$D$10:$D$13,'Facturas y gastos'!$A$10:$A$13,A198)/SUMIFS($I$8:$I$657,$A$8:$A$657,A198)))</f>
        <v>147.24969831082228</v>
      </c>
      <c r="K198" s="8">
        <f>IF(J198="","",IF(SUMIFS('Facturas y gastos'!$D$10:$D$13,'Facturas y gastos'!$A$10:$A$13,A198)=0,"",J198*SUMIFS('Facturas y gastos'!$G$10:$G$13,'Facturas y gastos'!$A$10:$A$13,A198)/SUMIFS('Facturas y gastos'!$D$10:$D$13,'Facturas y gastos'!$A$10:$A$13,A198)))</f>
        <v>1.4725071651179695</v>
      </c>
      <c r="L198" s="8">
        <f>IF(J198="","",IF(SUMIFS('Facturas y gastos'!$D$10:$D$13,'Facturas y gastos'!$A$10:$A$13,A198)=0,"",J198*SUMIFS('Facturas y gastos'!$H$10:$H$13,'Facturas y gastos'!$A$10:$A$13,A198)/SUMIFS('Facturas y gastos'!$D$10:$D$13,'Facturas y gastos'!$A$10:$A$13,A198)))</f>
        <v>4.4174837842066985</v>
      </c>
      <c r="M198" s="8">
        <f>IF(J198="","",IF(SUMIFS('Facturas y gastos'!$D$10:$D$13,'Facturas y gastos'!$A$10:$A$13,A198)=0,"",J198*SUMIFS('Facturas y gastos'!$I$10:$I$13,'Facturas y gastos'!$A$10:$A$13,A198)/SUMIFS('Facturas y gastos'!$D$10:$D$13,'Facturas y gastos'!$A$10:$A$13,A198)))</f>
        <v>29.791806296084097</v>
      </c>
      <c r="N198" s="8">
        <f>IF(J198="","",IF(SUMIFS('Facturas y gastos'!$D$10:$D$13,'Facturas y gastos'!$A$10:$A$13,A198)=0,"",J198*SUMIFS('Facturas y gastos'!$J$10:$J$13,'Facturas y gastos'!$A$10:$A$13,A198)/SUMIFS('Facturas y gastos'!$D$10:$D$13,'Facturas y gastos'!$A$10:$A$13,A198)))</f>
        <v>0</v>
      </c>
      <c r="O198" s="8">
        <f t="shared" si="4"/>
        <v>179.98648122599511</v>
      </c>
      <c r="P198" s="8" t="str">
        <f>IF(OR(O198="",'Facturas y gastos'!$B$24="",'Facturas y gastos'!$B$45&lt;&gt;"OK",SUM($O$8:$O$657)=0),"",O198*'Facturas y gastos'!$B$43/SUM($O$8:$O$657))</f>
        <v/>
      </c>
      <c r="Q198" s="8" t="str">
        <f>IF(OR(O198="",'Facturas y gastos'!$B$5="",P198=""),"",O198*'Facturas y gastos'!$B$5+P198)</f>
        <v/>
      </c>
      <c r="R198" s="8" t="str">
        <f t="shared" si="5"/>
        <v/>
      </c>
    </row>
    <row r="199" spans="1:18">
      <c r="A199" s="25" t="s">
        <v>60</v>
      </c>
      <c r="B199" s="25">
        <v>73</v>
      </c>
      <c r="C199" s="25" t="s">
        <v>336</v>
      </c>
      <c r="D199" s="25" t="s">
        <v>302</v>
      </c>
      <c r="E199" s="25" t="s">
        <v>108</v>
      </c>
      <c r="F199" s="27">
        <v>108</v>
      </c>
      <c r="G199" s="27">
        <v>3</v>
      </c>
      <c r="H199" s="29">
        <v>1.1000000000000001</v>
      </c>
      <c r="I199" s="29">
        <v>118.48</v>
      </c>
      <c r="J199" s="8">
        <f>IF(OR(A199="",I199=""),"",IF(SUMIFS($I$8:$I$657,$A$8:$A$657,A199)=0,"",I199*SUMIFS('Facturas y gastos'!$D$10:$D$13,'Facturas y gastos'!$A$10:$A$13,A199)/SUMIFS($I$8:$I$657,$A$8:$A$657,A199)))</f>
        <v>118.47975725545824</v>
      </c>
      <c r="K199" s="8">
        <f>IF(J199="","",IF(SUMIFS('Facturas y gastos'!$D$10:$D$13,'Facturas y gastos'!$A$10:$A$13,A199)=0,"",J199*SUMIFS('Facturas y gastos'!$G$10:$G$13,'Facturas y gastos'!$A$10:$A$13,A199)/SUMIFS('Facturas y gastos'!$D$10:$D$13,'Facturas y gastos'!$A$10:$A$13,A199)))</f>
        <v>1.1848057651828663</v>
      </c>
      <c r="L199" s="8">
        <f>IF(J199="","",IF(SUMIFS('Facturas y gastos'!$D$10:$D$13,'Facturas y gastos'!$A$10:$A$13,A199)=0,"",J199*SUMIFS('Facturas y gastos'!$H$10:$H$13,'Facturas y gastos'!$A$10:$A$13,A199)/SUMIFS('Facturas y gastos'!$D$10:$D$13,'Facturas y gastos'!$A$10:$A$13,A199)))</f>
        <v>3.5543869524808809</v>
      </c>
      <c r="M199" s="8">
        <f>IF(J199="","",IF(SUMIFS('Facturas y gastos'!$D$10:$D$13,'Facturas y gastos'!$A$10:$A$13,A199)=0,"",J199*SUMIFS('Facturas y gastos'!$I$10:$I$13,'Facturas y gastos'!$A$10:$A$13,A199)/SUMIFS('Facturas y gastos'!$D$10:$D$13,'Facturas y gastos'!$A$10:$A$13,A199)))</f>
        <v>23.971023497181967</v>
      </c>
      <c r="N199" s="8">
        <f>IF(J199="","",IF(SUMIFS('Facturas y gastos'!$D$10:$D$13,'Facturas y gastos'!$A$10:$A$13,A199)=0,"",J199*SUMIFS('Facturas y gastos'!$J$10:$J$13,'Facturas y gastos'!$A$10:$A$13,A199)/SUMIFS('Facturas y gastos'!$D$10:$D$13,'Facturas y gastos'!$A$10:$A$13,A199)))</f>
        <v>0</v>
      </c>
      <c r="O199" s="8">
        <f t="shared" si="4"/>
        <v>144.82036193993821</v>
      </c>
      <c r="P199" s="8" t="str">
        <f>IF(OR(O199="",'Facturas y gastos'!$B$24="",'Facturas y gastos'!$B$45&lt;&gt;"OK",SUM($O$8:$O$657)=0),"",O199*'Facturas y gastos'!$B$43/SUM($O$8:$O$657))</f>
        <v/>
      </c>
      <c r="Q199" s="8" t="str">
        <f>IF(OR(O199="",'Facturas y gastos'!$B$5="",P199=""),"",O199*'Facturas y gastos'!$B$5+P199)</f>
        <v/>
      </c>
      <c r="R199" s="8" t="str">
        <f t="shared" si="5"/>
        <v/>
      </c>
    </row>
    <row r="200" spans="1:18">
      <c r="A200" s="25" t="s">
        <v>60</v>
      </c>
      <c r="B200" s="25">
        <v>74</v>
      </c>
      <c r="C200" s="25" t="s">
        <v>337</v>
      </c>
      <c r="D200" s="25" t="s">
        <v>302</v>
      </c>
      <c r="E200" s="25" t="s">
        <v>108</v>
      </c>
      <c r="F200" s="27">
        <v>27</v>
      </c>
      <c r="G200" s="27">
        <v>3</v>
      </c>
      <c r="H200" s="29">
        <v>6.43</v>
      </c>
      <c r="I200" s="29">
        <v>173.49</v>
      </c>
      <c r="J200" s="8">
        <f>IF(OR(A200="",I200=""),"",IF(SUMIFS($I$8:$I$657,$A$8:$A$657,A200)=0,"",I200*SUMIFS('Facturas y gastos'!$D$10:$D$13,'Facturas y gastos'!$A$10:$A$13,A200)/SUMIFS($I$8:$I$657,$A$8:$A$657,A200)))</f>
        <v>173.48964454970837</v>
      </c>
      <c r="K200" s="8">
        <f>IF(J200="","",IF(SUMIFS('Facturas y gastos'!$D$10:$D$13,'Facturas y gastos'!$A$10:$A$13,A200)=0,"",J200*SUMIFS('Facturas y gastos'!$G$10:$G$13,'Facturas y gastos'!$A$10:$A$13,A200)/SUMIFS('Facturas y gastos'!$D$10:$D$13,'Facturas y gastos'!$A$10:$A$13,A200)))</f>
        <v>1.7349084419444247</v>
      </c>
      <c r="L200" s="8">
        <f>IF(J200="","",IF(SUMIFS('Facturas y gastos'!$D$10:$D$13,'Facturas y gastos'!$A$10:$A$13,A200)=0,"",J200*SUMIFS('Facturas y gastos'!$H$10:$H$13,'Facturas y gastos'!$A$10:$A$13,A200)/SUMIFS('Facturas y gastos'!$D$10:$D$13,'Facturas y gastos'!$A$10:$A$13,A200)))</f>
        <v>5.2046808945468257</v>
      </c>
      <c r="M200" s="8">
        <f>IF(J200="","",IF(SUMIFS('Facturas y gastos'!$D$10:$D$13,'Facturas y gastos'!$A$10:$A$13,A200)=0,"",J200*SUMIFS('Facturas y gastos'!$I$10:$I$13,'Facturas y gastos'!$A$10:$A$13,A200)/SUMIFS('Facturas y gastos'!$D$10:$D$13,'Facturas y gastos'!$A$10:$A$13,A200)))</f>
        <v>35.100716294109546</v>
      </c>
      <c r="N200" s="8">
        <f>IF(J200="","",IF(SUMIFS('Facturas y gastos'!$D$10:$D$13,'Facturas y gastos'!$A$10:$A$13,A200)=0,"",J200*SUMIFS('Facturas y gastos'!$J$10:$J$13,'Facturas y gastos'!$A$10:$A$13,A200)/SUMIFS('Facturas y gastos'!$D$10:$D$13,'Facturas y gastos'!$A$10:$A$13,A200)))</f>
        <v>0</v>
      </c>
      <c r="O200" s="8">
        <f t="shared" ref="O200:O263" si="6">IF(J200="","",J200-K200+L200+M200+N200)</f>
        <v>212.0601332964203</v>
      </c>
      <c r="P200" s="8" t="str">
        <f>IF(OR(O200="",'Facturas y gastos'!$B$24="",'Facturas y gastos'!$B$45&lt;&gt;"OK",SUM($O$8:$O$657)=0),"",O200*'Facturas y gastos'!$B$43/SUM($O$8:$O$657))</f>
        <v/>
      </c>
      <c r="Q200" s="8" t="str">
        <f>IF(OR(O200="",'Facturas y gastos'!$B$5="",P200=""),"",O200*'Facturas y gastos'!$B$5+P200)</f>
        <v/>
      </c>
      <c r="R200" s="8" t="str">
        <f t="shared" ref="R200:R263" si="7">IF(OR(Q200="",F200="",F200=0),"",Q200/F200)</f>
        <v/>
      </c>
    </row>
    <row r="201" spans="1:18">
      <c r="A201" s="25" t="s">
        <v>60</v>
      </c>
      <c r="B201" s="25">
        <v>75</v>
      </c>
      <c r="C201" s="25" t="s">
        <v>338</v>
      </c>
      <c r="D201" s="25" t="s">
        <v>302</v>
      </c>
      <c r="E201" s="25" t="s">
        <v>108</v>
      </c>
      <c r="F201" s="27">
        <v>27</v>
      </c>
      <c r="G201" s="27">
        <v>3</v>
      </c>
      <c r="H201" s="29">
        <v>6.43</v>
      </c>
      <c r="I201" s="29">
        <v>173.49</v>
      </c>
      <c r="J201" s="8">
        <f>IF(OR(A201="",I201=""),"",IF(SUMIFS($I$8:$I$657,$A$8:$A$657,A201)=0,"",I201*SUMIFS('Facturas y gastos'!$D$10:$D$13,'Facturas y gastos'!$A$10:$A$13,A201)/SUMIFS($I$8:$I$657,$A$8:$A$657,A201)))</f>
        <v>173.48964454970837</v>
      </c>
      <c r="K201" s="8">
        <f>IF(J201="","",IF(SUMIFS('Facturas y gastos'!$D$10:$D$13,'Facturas y gastos'!$A$10:$A$13,A201)=0,"",J201*SUMIFS('Facturas y gastos'!$G$10:$G$13,'Facturas y gastos'!$A$10:$A$13,A201)/SUMIFS('Facturas y gastos'!$D$10:$D$13,'Facturas y gastos'!$A$10:$A$13,A201)))</f>
        <v>1.7349084419444247</v>
      </c>
      <c r="L201" s="8">
        <f>IF(J201="","",IF(SUMIFS('Facturas y gastos'!$D$10:$D$13,'Facturas y gastos'!$A$10:$A$13,A201)=0,"",J201*SUMIFS('Facturas y gastos'!$H$10:$H$13,'Facturas y gastos'!$A$10:$A$13,A201)/SUMIFS('Facturas y gastos'!$D$10:$D$13,'Facturas y gastos'!$A$10:$A$13,A201)))</f>
        <v>5.2046808945468257</v>
      </c>
      <c r="M201" s="8">
        <f>IF(J201="","",IF(SUMIFS('Facturas y gastos'!$D$10:$D$13,'Facturas y gastos'!$A$10:$A$13,A201)=0,"",J201*SUMIFS('Facturas y gastos'!$I$10:$I$13,'Facturas y gastos'!$A$10:$A$13,A201)/SUMIFS('Facturas y gastos'!$D$10:$D$13,'Facturas y gastos'!$A$10:$A$13,A201)))</f>
        <v>35.100716294109546</v>
      </c>
      <c r="N201" s="8">
        <f>IF(J201="","",IF(SUMIFS('Facturas y gastos'!$D$10:$D$13,'Facturas y gastos'!$A$10:$A$13,A201)=0,"",J201*SUMIFS('Facturas y gastos'!$J$10:$J$13,'Facturas y gastos'!$A$10:$A$13,A201)/SUMIFS('Facturas y gastos'!$D$10:$D$13,'Facturas y gastos'!$A$10:$A$13,A201)))</f>
        <v>0</v>
      </c>
      <c r="O201" s="8">
        <f t="shared" si="6"/>
        <v>212.0601332964203</v>
      </c>
      <c r="P201" s="8" t="str">
        <f>IF(OR(O201="",'Facturas y gastos'!$B$24="",'Facturas y gastos'!$B$45&lt;&gt;"OK",SUM($O$8:$O$657)=0),"",O201*'Facturas y gastos'!$B$43/SUM($O$8:$O$657))</f>
        <v/>
      </c>
      <c r="Q201" s="8" t="str">
        <f>IF(OR(O201="",'Facturas y gastos'!$B$5="",P201=""),"",O201*'Facturas y gastos'!$B$5+P201)</f>
        <v/>
      </c>
      <c r="R201" s="8" t="str">
        <f t="shared" si="7"/>
        <v/>
      </c>
    </row>
    <row r="202" spans="1:18">
      <c r="A202" s="25" t="s">
        <v>60</v>
      </c>
      <c r="B202" s="25">
        <v>76</v>
      </c>
      <c r="C202" s="25" t="s">
        <v>339</v>
      </c>
      <c r="D202" s="25" t="s">
        <v>302</v>
      </c>
      <c r="E202" s="25" t="s">
        <v>108</v>
      </c>
      <c r="F202" s="27">
        <v>54</v>
      </c>
      <c r="G202" s="27">
        <v>3</v>
      </c>
      <c r="H202" s="29">
        <v>5.8</v>
      </c>
      <c r="I202" s="29">
        <v>313.12</v>
      </c>
      <c r="J202" s="8">
        <f>IF(OR(A202="",I202=""),"",IF(SUMIFS($I$8:$I$657,$A$8:$A$657,A202)=0,"",I202*SUMIFS('Facturas y gastos'!$D$10:$D$13,'Facturas y gastos'!$A$10:$A$13,A202)/SUMIFS($I$8:$I$657,$A$8:$A$657,A202)))</f>
        <v>313.11935847256149</v>
      </c>
      <c r="K202" s="8">
        <f>IF(J202="","",IF(SUMIFS('Facturas y gastos'!$D$10:$D$13,'Facturas y gastos'!$A$10:$A$13,A202)=0,"",J202*SUMIFS('Facturas y gastos'!$G$10:$G$13,'Facturas y gastos'!$A$10:$A$13,A202)/SUMIFS('Facturas y gastos'!$D$10:$D$13,'Facturas y gastos'!$A$10:$A$13,A202)))</f>
        <v>3.1312152362766636</v>
      </c>
      <c r="L202" s="8">
        <f>IF(J202="","",IF(SUMIFS('Facturas y gastos'!$D$10:$D$13,'Facturas y gastos'!$A$10:$A$13,A202)=0,"",J202*SUMIFS('Facturas y gastos'!$H$10:$H$13,'Facturas y gastos'!$A$10:$A$13,A202)/SUMIFS('Facturas y gastos'!$D$10:$D$13,'Facturas y gastos'!$A$10:$A$13,A202)))</f>
        <v>9.393565517900182</v>
      </c>
      <c r="M202" s="8">
        <f>IF(J202="","",IF(SUMIFS('Facturas y gastos'!$D$10:$D$13,'Facturas y gastos'!$A$10:$A$13,A202)=0,"",J202*SUMIFS('Facturas y gastos'!$I$10:$I$13,'Facturas y gastos'!$A$10:$A$13,A202)/SUMIFS('Facturas y gastos'!$D$10:$D$13,'Facturas y gastos'!$A$10:$A$13,A202)))</f>
        <v>63.350834549608521</v>
      </c>
      <c r="N202" s="8">
        <f>IF(J202="","",IF(SUMIFS('Facturas y gastos'!$D$10:$D$13,'Facturas y gastos'!$A$10:$A$13,A202)=0,"",J202*SUMIFS('Facturas y gastos'!$J$10:$J$13,'Facturas y gastos'!$A$10:$A$13,A202)/SUMIFS('Facturas y gastos'!$D$10:$D$13,'Facturas y gastos'!$A$10:$A$13,A202)))</f>
        <v>0</v>
      </c>
      <c r="O202" s="8">
        <f t="shared" si="6"/>
        <v>382.73254330379353</v>
      </c>
      <c r="P202" s="8" t="str">
        <f>IF(OR(O202="",'Facturas y gastos'!$B$24="",'Facturas y gastos'!$B$45&lt;&gt;"OK",SUM($O$8:$O$657)=0),"",O202*'Facturas y gastos'!$B$43/SUM($O$8:$O$657))</f>
        <v/>
      </c>
      <c r="Q202" s="8" t="str">
        <f>IF(OR(O202="",'Facturas y gastos'!$B$5="",P202=""),"",O202*'Facturas y gastos'!$B$5+P202)</f>
        <v/>
      </c>
      <c r="R202" s="8" t="str">
        <f t="shared" si="7"/>
        <v/>
      </c>
    </row>
    <row r="203" spans="1:18">
      <c r="A203" s="25" t="s">
        <v>60</v>
      </c>
      <c r="B203" s="25">
        <v>77</v>
      </c>
      <c r="C203" s="25" t="s">
        <v>340</v>
      </c>
      <c r="D203" s="25" t="s">
        <v>302</v>
      </c>
      <c r="E203" s="25" t="s">
        <v>108</v>
      </c>
      <c r="F203" s="27">
        <v>54</v>
      </c>
      <c r="G203" s="27">
        <v>3</v>
      </c>
      <c r="H203" s="29">
        <v>5.8</v>
      </c>
      <c r="I203" s="29">
        <v>313.12</v>
      </c>
      <c r="J203" s="8">
        <f>IF(OR(A203="",I203=""),"",IF(SUMIFS($I$8:$I$657,$A$8:$A$657,A203)=0,"",I203*SUMIFS('Facturas y gastos'!$D$10:$D$13,'Facturas y gastos'!$A$10:$A$13,A203)/SUMIFS($I$8:$I$657,$A$8:$A$657,A203)))</f>
        <v>313.11935847256149</v>
      </c>
      <c r="K203" s="8">
        <f>IF(J203="","",IF(SUMIFS('Facturas y gastos'!$D$10:$D$13,'Facturas y gastos'!$A$10:$A$13,A203)=0,"",J203*SUMIFS('Facturas y gastos'!$G$10:$G$13,'Facturas y gastos'!$A$10:$A$13,A203)/SUMIFS('Facturas y gastos'!$D$10:$D$13,'Facturas y gastos'!$A$10:$A$13,A203)))</f>
        <v>3.1312152362766636</v>
      </c>
      <c r="L203" s="8">
        <f>IF(J203="","",IF(SUMIFS('Facturas y gastos'!$D$10:$D$13,'Facturas y gastos'!$A$10:$A$13,A203)=0,"",J203*SUMIFS('Facturas y gastos'!$H$10:$H$13,'Facturas y gastos'!$A$10:$A$13,A203)/SUMIFS('Facturas y gastos'!$D$10:$D$13,'Facturas y gastos'!$A$10:$A$13,A203)))</f>
        <v>9.393565517900182</v>
      </c>
      <c r="M203" s="8">
        <f>IF(J203="","",IF(SUMIFS('Facturas y gastos'!$D$10:$D$13,'Facturas y gastos'!$A$10:$A$13,A203)=0,"",J203*SUMIFS('Facturas y gastos'!$I$10:$I$13,'Facturas y gastos'!$A$10:$A$13,A203)/SUMIFS('Facturas y gastos'!$D$10:$D$13,'Facturas y gastos'!$A$10:$A$13,A203)))</f>
        <v>63.350834549608521</v>
      </c>
      <c r="N203" s="8">
        <f>IF(J203="","",IF(SUMIFS('Facturas y gastos'!$D$10:$D$13,'Facturas y gastos'!$A$10:$A$13,A203)=0,"",J203*SUMIFS('Facturas y gastos'!$J$10:$J$13,'Facturas y gastos'!$A$10:$A$13,A203)/SUMIFS('Facturas y gastos'!$D$10:$D$13,'Facturas y gastos'!$A$10:$A$13,A203)))</f>
        <v>0</v>
      </c>
      <c r="O203" s="8">
        <f t="shared" si="6"/>
        <v>382.73254330379353</v>
      </c>
      <c r="P203" s="8" t="str">
        <f>IF(OR(O203="",'Facturas y gastos'!$B$24="",'Facturas y gastos'!$B$45&lt;&gt;"OK",SUM($O$8:$O$657)=0),"",O203*'Facturas y gastos'!$B$43/SUM($O$8:$O$657))</f>
        <v/>
      </c>
      <c r="Q203" s="8" t="str">
        <f>IF(OR(O203="",'Facturas y gastos'!$B$5="",P203=""),"",O203*'Facturas y gastos'!$B$5+P203)</f>
        <v/>
      </c>
      <c r="R203" s="8" t="str">
        <f t="shared" si="7"/>
        <v/>
      </c>
    </row>
    <row r="204" spans="1:18">
      <c r="A204" s="25" t="s">
        <v>60</v>
      </c>
      <c r="B204" s="25">
        <v>78</v>
      </c>
      <c r="C204" s="25" t="s">
        <v>341</v>
      </c>
      <c r="D204" s="25" t="s">
        <v>302</v>
      </c>
      <c r="E204" s="25" t="s">
        <v>108</v>
      </c>
      <c r="F204" s="27">
        <v>48</v>
      </c>
      <c r="G204" s="27">
        <v>3</v>
      </c>
      <c r="H204" s="29">
        <v>4.3899999999999997</v>
      </c>
      <c r="I204" s="29">
        <v>210.63</v>
      </c>
      <c r="J204" s="8">
        <f>IF(OR(A204="",I204=""),"",IF(SUMIFS($I$8:$I$657,$A$8:$A$657,A204)=0,"",I204*SUMIFS('Facturas y gastos'!$D$10:$D$13,'Facturas y gastos'!$A$10:$A$13,A204)/SUMIFS($I$8:$I$657,$A$8:$A$657,A204)))</f>
        <v>210.62956845642444</v>
      </c>
      <c r="K204" s="8">
        <f>IF(J204="","",IF(SUMIFS('Facturas y gastos'!$D$10:$D$13,'Facturas y gastos'!$A$10:$A$13,A204)=0,"",J204*SUMIFS('Facturas y gastos'!$G$10:$G$13,'Facturas y gastos'!$A$10:$A$13,A204)/SUMIFS('Facturas y gastos'!$D$10:$D$13,'Facturas y gastos'!$A$10:$A$13,A204)))</f>
        <v>2.1063102491599182</v>
      </c>
      <c r="L204" s="8">
        <f>IF(J204="","",IF(SUMIFS('Facturas y gastos'!$D$10:$D$13,'Facturas y gastos'!$A$10:$A$13,A204)=0,"",J204*SUMIFS('Facturas y gastos'!$H$10:$H$13,'Facturas y gastos'!$A$10:$A$13,A204)/SUMIFS('Facturas y gastos'!$D$10:$D$13,'Facturas y gastos'!$A$10:$A$13,A204)))</f>
        <v>6.318876804532815</v>
      </c>
      <c r="M204" s="8">
        <f>IF(J204="","",IF(SUMIFS('Facturas y gastos'!$D$10:$D$13,'Facturas y gastos'!$A$10:$A$13,A204)=0,"",J204*SUMIFS('Facturas y gastos'!$I$10:$I$13,'Facturas y gastos'!$A$10:$A$13,A204)/SUMIFS('Facturas y gastos'!$D$10:$D$13,'Facturas y gastos'!$A$10:$A$13,A204)))</f>
        <v>42.614928082473305</v>
      </c>
      <c r="N204" s="8">
        <f>IF(J204="","",IF(SUMIFS('Facturas y gastos'!$D$10:$D$13,'Facturas y gastos'!$A$10:$A$13,A204)=0,"",J204*SUMIFS('Facturas y gastos'!$J$10:$J$13,'Facturas y gastos'!$A$10:$A$13,A204)/SUMIFS('Facturas y gastos'!$D$10:$D$13,'Facturas y gastos'!$A$10:$A$13,A204)))</f>
        <v>0</v>
      </c>
      <c r="O204" s="8">
        <f t="shared" si="6"/>
        <v>257.45706309427061</v>
      </c>
      <c r="P204" s="8" t="str">
        <f>IF(OR(O204="",'Facturas y gastos'!$B$24="",'Facturas y gastos'!$B$45&lt;&gt;"OK",SUM($O$8:$O$657)=0),"",O204*'Facturas y gastos'!$B$43/SUM($O$8:$O$657))</f>
        <v/>
      </c>
      <c r="Q204" s="8" t="str">
        <f>IF(OR(O204="",'Facturas y gastos'!$B$5="",P204=""),"",O204*'Facturas y gastos'!$B$5+P204)</f>
        <v/>
      </c>
      <c r="R204" s="8" t="str">
        <f t="shared" si="7"/>
        <v/>
      </c>
    </row>
    <row r="205" spans="1:18">
      <c r="A205" s="25" t="s">
        <v>60</v>
      </c>
      <c r="B205" s="25">
        <v>79</v>
      </c>
      <c r="C205" s="25" t="s">
        <v>342</v>
      </c>
      <c r="D205" s="25" t="s">
        <v>302</v>
      </c>
      <c r="E205" s="25" t="s">
        <v>108</v>
      </c>
      <c r="F205" s="27">
        <v>72</v>
      </c>
      <c r="G205" s="27">
        <v>3</v>
      </c>
      <c r="H205" s="29">
        <v>3.45</v>
      </c>
      <c r="I205" s="29">
        <v>248.24</v>
      </c>
      <c r="J205" s="8">
        <f>IF(OR(A205="",I205=""),"",IF(SUMIFS($I$8:$I$657,$A$8:$A$657,A205)=0,"",I205*SUMIFS('Facturas y gastos'!$D$10:$D$13,'Facturas y gastos'!$A$10:$A$13,A205)/SUMIFS($I$8:$I$657,$A$8:$A$657,A205)))</f>
        <v>248.23949140019371</v>
      </c>
      <c r="K205" s="8">
        <f>IF(J205="","",IF(SUMIFS('Facturas y gastos'!$D$10:$D$13,'Facturas y gastos'!$A$10:$A$13,A205)=0,"",J205*SUMIFS('Facturas y gastos'!$G$10:$G$13,'Facturas y gastos'!$A$10:$A$13,A205)/SUMIFS('Facturas y gastos'!$D$10:$D$13,'Facturas y gastos'!$A$10:$A$13,A205)))</f>
        <v>2.4824120792453974</v>
      </c>
      <c r="L205" s="8">
        <f>IF(J205="","",IF(SUMIFS('Facturas y gastos'!$D$10:$D$13,'Facturas y gastos'!$A$10:$A$13,A205)=0,"",J205*SUMIFS('Facturas y gastos'!$H$10:$H$13,'Facturas y gastos'!$A$10:$A$13,A205)/SUMIFS('Facturas y gastos'!$D$10:$D$13,'Facturas y gastos'!$A$10:$A$13,A205)))</f>
        <v>7.4471726627604129</v>
      </c>
      <c r="M205" s="8">
        <f>IF(J205="","",IF(SUMIFS('Facturas y gastos'!$D$10:$D$13,'Facturas y gastos'!$A$10:$A$13,A205)=0,"",J205*SUMIFS('Facturas y gastos'!$I$10:$I$13,'Facturas y gastos'!$A$10:$A$13,A205)/SUMIFS('Facturas y gastos'!$D$10:$D$13,'Facturas y gastos'!$A$10:$A$13,A205)))</f>
        <v>50.224230865466332</v>
      </c>
      <c r="N205" s="8">
        <f>IF(J205="","",IF(SUMIFS('Facturas y gastos'!$D$10:$D$13,'Facturas y gastos'!$A$10:$A$13,A205)=0,"",J205*SUMIFS('Facturas y gastos'!$J$10:$J$13,'Facturas y gastos'!$A$10:$A$13,A205)/SUMIFS('Facturas y gastos'!$D$10:$D$13,'Facturas y gastos'!$A$10:$A$13,A205)))</f>
        <v>0</v>
      </c>
      <c r="O205" s="8">
        <f t="shared" si="6"/>
        <v>303.42848284917505</v>
      </c>
      <c r="P205" s="8" t="str">
        <f>IF(OR(O205="",'Facturas y gastos'!$B$24="",'Facturas y gastos'!$B$45&lt;&gt;"OK",SUM($O$8:$O$657)=0),"",O205*'Facturas y gastos'!$B$43/SUM($O$8:$O$657))</f>
        <v/>
      </c>
      <c r="Q205" s="8" t="str">
        <f>IF(OR(O205="",'Facturas y gastos'!$B$5="",P205=""),"",O205*'Facturas y gastos'!$B$5+P205)</f>
        <v/>
      </c>
      <c r="R205" s="8" t="str">
        <f t="shared" si="7"/>
        <v/>
      </c>
    </row>
    <row r="206" spans="1:18">
      <c r="A206" s="25" t="s">
        <v>60</v>
      </c>
      <c r="B206" s="25">
        <v>80</v>
      </c>
      <c r="C206" s="25" t="s">
        <v>343</v>
      </c>
      <c r="D206" s="25" t="s">
        <v>302</v>
      </c>
      <c r="E206" s="25" t="s">
        <v>108</v>
      </c>
      <c r="F206" s="27">
        <v>48</v>
      </c>
      <c r="G206" s="27">
        <v>3</v>
      </c>
      <c r="H206" s="29">
        <v>5.17</v>
      </c>
      <c r="I206" s="29">
        <v>248.24</v>
      </c>
      <c r="J206" s="8">
        <f>IF(OR(A206="",I206=""),"",IF(SUMIFS($I$8:$I$657,$A$8:$A$657,A206)=0,"",I206*SUMIFS('Facturas y gastos'!$D$10:$D$13,'Facturas y gastos'!$A$10:$A$13,A206)/SUMIFS($I$8:$I$657,$A$8:$A$657,A206)))</f>
        <v>248.23949140019371</v>
      </c>
      <c r="K206" s="8">
        <f>IF(J206="","",IF(SUMIFS('Facturas y gastos'!$D$10:$D$13,'Facturas y gastos'!$A$10:$A$13,A206)=0,"",J206*SUMIFS('Facturas y gastos'!$G$10:$G$13,'Facturas y gastos'!$A$10:$A$13,A206)/SUMIFS('Facturas y gastos'!$D$10:$D$13,'Facturas y gastos'!$A$10:$A$13,A206)))</f>
        <v>2.4824120792453974</v>
      </c>
      <c r="L206" s="8">
        <f>IF(J206="","",IF(SUMIFS('Facturas y gastos'!$D$10:$D$13,'Facturas y gastos'!$A$10:$A$13,A206)=0,"",J206*SUMIFS('Facturas y gastos'!$H$10:$H$13,'Facturas y gastos'!$A$10:$A$13,A206)/SUMIFS('Facturas y gastos'!$D$10:$D$13,'Facturas y gastos'!$A$10:$A$13,A206)))</f>
        <v>7.4471726627604129</v>
      </c>
      <c r="M206" s="8">
        <f>IF(J206="","",IF(SUMIFS('Facturas y gastos'!$D$10:$D$13,'Facturas y gastos'!$A$10:$A$13,A206)=0,"",J206*SUMIFS('Facturas y gastos'!$I$10:$I$13,'Facturas y gastos'!$A$10:$A$13,A206)/SUMIFS('Facturas y gastos'!$D$10:$D$13,'Facturas y gastos'!$A$10:$A$13,A206)))</f>
        <v>50.224230865466332</v>
      </c>
      <c r="N206" s="8">
        <f>IF(J206="","",IF(SUMIFS('Facturas y gastos'!$D$10:$D$13,'Facturas y gastos'!$A$10:$A$13,A206)=0,"",J206*SUMIFS('Facturas y gastos'!$J$10:$J$13,'Facturas y gastos'!$A$10:$A$13,A206)/SUMIFS('Facturas y gastos'!$D$10:$D$13,'Facturas y gastos'!$A$10:$A$13,A206)))</f>
        <v>0</v>
      </c>
      <c r="O206" s="8">
        <f t="shared" si="6"/>
        <v>303.42848284917505</v>
      </c>
      <c r="P206" s="8" t="str">
        <f>IF(OR(O206="",'Facturas y gastos'!$B$24="",'Facturas y gastos'!$B$45&lt;&gt;"OK",SUM($O$8:$O$657)=0),"",O206*'Facturas y gastos'!$B$43/SUM($O$8:$O$657))</f>
        <v/>
      </c>
      <c r="Q206" s="8" t="str">
        <f>IF(OR(O206="",'Facturas y gastos'!$B$5="",P206=""),"",O206*'Facturas y gastos'!$B$5+P206)</f>
        <v/>
      </c>
      <c r="R206" s="8" t="str">
        <f t="shared" si="7"/>
        <v/>
      </c>
    </row>
    <row r="207" spans="1:18">
      <c r="A207" s="25" t="s">
        <v>60</v>
      </c>
      <c r="B207" s="25">
        <v>81</v>
      </c>
      <c r="C207" s="25" t="s">
        <v>344</v>
      </c>
      <c r="D207" s="25" t="s">
        <v>345</v>
      </c>
      <c r="E207" s="25" t="s">
        <v>108</v>
      </c>
      <c r="F207" s="27">
        <v>20</v>
      </c>
      <c r="G207" s="27">
        <v>5</v>
      </c>
      <c r="H207" s="29">
        <v>29.85</v>
      </c>
      <c r="I207" s="29">
        <v>597.01</v>
      </c>
      <c r="J207" s="8">
        <f>IF(OR(A207="",I207=""),"",IF(SUMIFS($I$8:$I$657,$A$8:$A$657,A207)=0,"",I207*SUMIFS('Facturas y gastos'!$D$10:$D$13,'Facturas y gastos'!$A$10:$A$13,A207)/SUMIFS($I$8:$I$657,$A$8:$A$657,A207)))</f>
        <v>597.00877683221734</v>
      </c>
      <c r="K207" s="8">
        <f>IF(J207="","",IF(SUMIFS('Facturas y gastos'!$D$10:$D$13,'Facturas y gastos'!$A$10:$A$13,A207)=0,"",J207*SUMIFS('Facturas y gastos'!$G$10:$G$13,'Facturas y gastos'!$A$10:$A$13,A207)/SUMIFS('Facturas y gastos'!$D$10:$D$13,'Facturas y gastos'!$A$10:$A$13,A207)))</f>
        <v>5.9701290502348314</v>
      </c>
      <c r="L207" s="8">
        <f>IF(J207="","",IF(SUMIFS('Facturas y gastos'!$D$10:$D$13,'Facturas y gastos'!$A$10:$A$13,A207)=0,"",J207*SUMIFS('Facturas y gastos'!$H$10:$H$13,'Facturas y gastos'!$A$10:$A$13,A207)/SUMIFS('Facturas y gastos'!$D$10:$D$13,'Facturas y gastos'!$A$10:$A$13,A207)))</f>
        <v>17.910234254731687</v>
      </c>
      <c r="M207" s="8">
        <f>IF(J207="","",IF(SUMIFS('Facturas y gastos'!$D$10:$D$13,'Facturas y gastos'!$A$10:$A$13,A207)=0,"",J207*SUMIFS('Facturas y gastos'!$I$10:$I$13,'Facturas y gastos'!$A$10:$A$13,A207)/SUMIFS('Facturas y gastos'!$D$10:$D$13,'Facturas y gastos'!$A$10:$A$13,A207)))</f>
        <v>120.78781851833729</v>
      </c>
      <c r="N207" s="8">
        <f>IF(J207="","",IF(SUMIFS('Facturas y gastos'!$D$10:$D$13,'Facturas y gastos'!$A$10:$A$13,A207)=0,"",J207*SUMIFS('Facturas y gastos'!$J$10:$J$13,'Facturas y gastos'!$A$10:$A$13,A207)/SUMIFS('Facturas y gastos'!$D$10:$D$13,'Facturas y gastos'!$A$10:$A$13,A207)))</f>
        <v>0</v>
      </c>
      <c r="O207" s="8">
        <f t="shared" si="6"/>
        <v>729.73670055505147</v>
      </c>
      <c r="P207" s="8" t="str">
        <f>IF(OR(O207="",'Facturas y gastos'!$B$24="",'Facturas y gastos'!$B$45&lt;&gt;"OK",SUM($O$8:$O$657)=0),"",O207*'Facturas y gastos'!$B$43/SUM($O$8:$O$657))</f>
        <v/>
      </c>
      <c r="Q207" s="8" t="str">
        <f>IF(OR(O207="",'Facturas y gastos'!$B$5="",P207=""),"",O207*'Facturas y gastos'!$B$5+P207)</f>
        <v/>
      </c>
      <c r="R207" s="8" t="str">
        <f t="shared" si="7"/>
        <v/>
      </c>
    </row>
    <row r="208" spans="1:18">
      <c r="A208" s="25" t="s">
        <v>60</v>
      </c>
      <c r="B208" s="25">
        <v>82</v>
      </c>
      <c r="C208" s="25" t="s">
        <v>346</v>
      </c>
      <c r="D208" s="25" t="s">
        <v>345</v>
      </c>
      <c r="E208" s="25" t="s">
        <v>108</v>
      </c>
      <c r="F208" s="27">
        <v>20</v>
      </c>
      <c r="G208" s="27">
        <v>5</v>
      </c>
      <c r="H208" s="29">
        <v>29.85</v>
      </c>
      <c r="I208" s="29">
        <v>597.01</v>
      </c>
      <c r="J208" s="8">
        <f>IF(OR(A208="",I208=""),"",IF(SUMIFS($I$8:$I$657,$A$8:$A$657,A208)=0,"",I208*SUMIFS('Facturas y gastos'!$D$10:$D$13,'Facturas y gastos'!$A$10:$A$13,A208)/SUMIFS($I$8:$I$657,$A$8:$A$657,A208)))</f>
        <v>597.00877683221734</v>
      </c>
      <c r="K208" s="8">
        <f>IF(J208="","",IF(SUMIFS('Facturas y gastos'!$D$10:$D$13,'Facturas y gastos'!$A$10:$A$13,A208)=0,"",J208*SUMIFS('Facturas y gastos'!$G$10:$G$13,'Facturas y gastos'!$A$10:$A$13,A208)/SUMIFS('Facturas y gastos'!$D$10:$D$13,'Facturas y gastos'!$A$10:$A$13,A208)))</f>
        <v>5.9701290502348314</v>
      </c>
      <c r="L208" s="8">
        <f>IF(J208="","",IF(SUMIFS('Facturas y gastos'!$D$10:$D$13,'Facturas y gastos'!$A$10:$A$13,A208)=0,"",J208*SUMIFS('Facturas y gastos'!$H$10:$H$13,'Facturas y gastos'!$A$10:$A$13,A208)/SUMIFS('Facturas y gastos'!$D$10:$D$13,'Facturas y gastos'!$A$10:$A$13,A208)))</f>
        <v>17.910234254731687</v>
      </c>
      <c r="M208" s="8">
        <f>IF(J208="","",IF(SUMIFS('Facturas y gastos'!$D$10:$D$13,'Facturas y gastos'!$A$10:$A$13,A208)=0,"",J208*SUMIFS('Facturas y gastos'!$I$10:$I$13,'Facturas y gastos'!$A$10:$A$13,A208)/SUMIFS('Facturas y gastos'!$D$10:$D$13,'Facturas y gastos'!$A$10:$A$13,A208)))</f>
        <v>120.78781851833729</v>
      </c>
      <c r="N208" s="8">
        <f>IF(J208="","",IF(SUMIFS('Facturas y gastos'!$D$10:$D$13,'Facturas y gastos'!$A$10:$A$13,A208)=0,"",J208*SUMIFS('Facturas y gastos'!$J$10:$J$13,'Facturas y gastos'!$A$10:$A$13,A208)/SUMIFS('Facturas y gastos'!$D$10:$D$13,'Facturas y gastos'!$A$10:$A$13,A208)))</f>
        <v>0</v>
      </c>
      <c r="O208" s="8">
        <f t="shared" si="6"/>
        <v>729.73670055505147</v>
      </c>
      <c r="P208" s="8" t="str">
        <f>IF(OR(O208="",'Facturas y gastos'!$B$24="",'Facturas y gastos'!$B$45&lt;&gt;"OK",SUM($O$8:$O$657)=0),"",O208*'Facturas y gastos'!$B$43/SUM($O$8:$O$657))</f>
        <v/>
      </c>
      <c r="Q208" s="8" t="str">
        <f>IF(OR(O208="",'Facturas y gastos'!$B$5="",P208=""),"",O208*'Facturas y gastos'!$B$5+P208)</f>
        <v/>
      </c>
      <c r="R208" s="8" t="str">
        <f t="shared" si="7"/>
        <v/>
      </c>
    </row>
    <row r="209" spans="1:18">
      <c r="A209" s="25" t="s">
        <v>60</v>
      </c>
      <c r="B209" s="25">
        <v>83</v>
      </c>
      <c r="C209" s="25" t="s">
        <v>347</v>
      </c>
      <c r="D209" s="25" t="s">
        <v>345</v>
      </c>
      <c r="E209" s="25" t="s">
        <v>108</v>
      </c>
      <c r="F209" s="27">
        <v>10</v>
      </c>
      <c r="G209" s="27">
        <v>5</v>
      </c>
      <c r="H209" s="29">
        <v>56.72</v>
      </c>
      <c r="I209" s="29">
        <v>567.16</v>
      </c>
      <c r="J209" s="8">
        <f>IF(OR(A209="",I209=""),"",IF(SUMIFS($I$8:$I$657,$A$8:$A$657,A209)=0,"",I209*SUMIFS('Facturas y gastos'!$D$10:$D$13,'Facturas y gastos'!$A$10:$A$13,A209)/SUMIFS($I$8:$I$657,$A$8:$A$657,A209)))</f>
        <v>567.15883798958214</v>
      </c>
      <c r="K209" s="8">
        <f>IF(J209="","",IF(SUMIFS('Facturas y gastos'!$D$10:$D$13,'Facturas y gastos'!$A$10:$A$13,A209)=0,"",J209*SUMIFS('Facturas y gastos'!$G$10:$G$13,'Facturas y gastos'!$A$10:$A$13,A209)/SUMIFS('Facturas y gastos'!$D$10:$D$13,'Facturas y gastos'!$A$10:$A$13,A209)))</f>
        <v>5.6716275977474204</v>
      </c>
      <c r="L209" s="8">
        <f>IF(J209="","",IF(SUMIFS('Facturas y gastos'!$D$10:$D$13,'Facturas y gastos'!$A$10:$A$13,A209)=0,"",J209*SUMIFS('Facturas y gastos'!$H$10:$H$13,'Facturas y gastos'!$A$10:$A$13,A209)/SUMIFS('Facturas y gastos'!$D$10:$D$13,'Facturas y gastos'!$A$10:$A$13,A209)))</f>
        <v>17.014737541940043</v>
      </c>
      <c r="M209" s="8">
        <f>IF(J209="","",IF(SUMIFS('Facturas y gastos'!$D$10:$D$13,'Facturas y gastos'!$A$10:$A$13,A209)=0,"",J209*SUMIFS('Facturas y gastos'!$I$10:$I$13,'Facturas y gastos'!$A$10:$A$13,A209)/SUMIFS('Facturas y gastos'!$D$10:$D$13,'Facturas y gastos'!$A$10:$A$13,A209)))</f>
        <v>114.74852875305304</v>
      </c>
      <c r="N209" s="8">
        <f>IF(J209="","",IF(SUMIFS('Facturas y gastos'!$D$10:$D$13,'Facturas y gastos'!$A$10:$A$13,A209)=0,"",J209*SUMIFS('Facturas y gastos'!$J$10:$J$13,'Facturas y gastos'!$A$10:$A$13,A209)/SUMIFS('Facturas y gastos'!$D$10:$D$13,'Facturas y gastos'!$A$10:$A$13,A209)))</f>
        <v>0</v>
      </c>
      <c r="O209" s="8">
        <f t="shared" si="6"/>
        <v>693.25047668682782</v>
      </c>
      <c r="P209" s="8" t="str">
        <f>IF(OR(O209="",'Facturas y gastos'!$B$24="",'Facturas y gastos'!$B$45&lt;&gt;"OK",SUM($O$8:$O$657)=0),"",O209*'Facturas y gastos'!$B$43/SUM($O$8:$O$657))</f>
        <v/>
      </c>
      <c r="Q209" s="8" t="str">
        <f>IF(OR(O209="",'Facturas y gastos'!$B$5="",P209=""),"",O209*'Facturas y gastos'!$B$5+P209)</f>
        <v/>
      </c>
      <c r="R209" s="8" t="str">
        <f t="shared" si="7"/>
        <v/>
      </c>
    </row>
    <row r="210" spans="1:18">
      <c r="A210" s="25" t="s">
        <v>60</v>
      </c>
      <c r="B210" s="25">
        <v>84</v>
      </c>
      <c r="C210" s="25" t="s">
        <v>348</v>
      </c>
      <c r="D210" s="25" t="s">
        <v>345</v>
      </c>
      <c r="E210" s="25" t="s">
        <v>108</v>
      </c>
      <c r="F210" s="27">
        <v>10</v>
      </c>
      <c r="G210" s="27">
        <v>5</v>
      </c>
      <c r="H210" s="29">
        <v>56.72</v>
      </c>
      <c r="I210" s="29">
        <v>567.16</v>
      </c>
      <c r="J210" s="8">
        <f>IF(OR(A210="",I210=""),"",IF(SUMIFS($I$8:$I$657,$A$8:$A$657,A210)=0,"",I210*SUMIFS('Facturas y gastos'!$D$10:$D$13,'Facturas y gastos'!$A$10:$A$13,A210)/SUMIFS($I$8:$I$657,$A$8:$A$657,A210)))</f>
        <v>567.15883798958214</v>
      </c>
      <c r="K210" s="8">
        <f>IF(J210="","",IF(SUMIFS('Facturas y gastos'!$D$10:$D$13,'Facturas y gastos'!$A$10:$A$13,A210)=0,"",J210*SUMIFS('Facturas y gastos'!$G$10:$G$13,'Facturas y gastos'!$A$10:$A$13,A210)/SUMIFS('Facturas y gastos'!$D$10:$D$13,'Facturas y gastos'!$A$10:$A$13,A210)))</f>
        <v>5.6716275977474204</v>
      </c>
      <c r="L210" s="8">
        <f>IF(J210="","",IF(SUMIFS('Facturas y gastos'!$D$10:$D$13,'Facturas y gastos'!$A$10:$A$13,A210)=0,"",J210*SUMIFS('Facturas y gastos'!$H$10:$H$13,'Facturas y gastos'!$A$10:$A$13,A210)/SUMIFS('Facturas y gastos'!$D$10:$D$13,'Facturas y gastos'!$A$10:$A$13,A210)))</f>
        <v>17.014737541940043</v>
      </c>
      <c r="M210" s="8">
        <f>IF(J210="","",IF(SUMIFS('Facturas y gastos'!$D$10:$D$13,'Facturas y gastos'!$A$10:$A$13,A210)=0,"",J210*SUMIFS('Facturas y gastos'!$I$10:$I$13,'Facturas y gastos'!$A$10:$A$13,A210)/SUMIFS('Facturas y gastos'!$D$10:$D$13,'Facturas y gastos'!$A$10:$A$13,A210)))</f>
        <v>114.74852875305304</v>
      </c>
      <c r="N210" s="8">
        <f>IF(J210="","",IF(SUMIFS('Facturas y gastos'!$D$10:$D$13,'Facturas y gastos'!$A$10:$A$13,A210)=0,"",J210*SUMIFS('Facturas y gastos'!$J$10:$J$13,'Facturas y gastos'!$A$10:$A$13,A210)/SUMIFS('Facturas y gastos'!$D$10:$D$13,'Facturas y gastos'!$A$10:$A$13,A210)))</f>
        <v>0</v>
      </c>
      <c r="O210" s="8">
        <f t="shared" si="6"/>
        <v>693.25047668682782</v>
      </c>
      <c r="P210" s="8" t="str">
        <f>IF(OR(O210="",'Facturas y gastos'!$B$24="",'Facturas y gastos'!$B$45&lt;&gt;"OK",SUM($O$8:$O$657)=0),"",O210*'Facturas y gastos'!$B$43/SUM($O$8:$O$657))</f>
        <v/>
      </c>
      <c r="Q210" s="8" t="str">
        <f>IF(OR(O210="",'Facturas y gastos'!$B$5="",P210=""),"",O210*'Facturas y gastos'!$B$5+P210)</f>
        <v/>
      </c>
      <c r="R210" s="8" t="str">
        <f t="shared" si="7"/>
        <v/>
      </c>
    </row>
    <row r="211" spans="1:18">
      <c r="A211" s="25" t="s">
        <v>60</v>
      </c>
      <c r="B211" s="25">
        <v>85</v>
      </c>
      <c r="C211" s="25" t="s">
        <v>349</v>
      </c>
      <c r="D211" s="25" t="s">
        <v>345</v>
      </c>
      <c r="E211" s="25" t="s">
        <v>108</v>
      </c>
      <c r="F211" s="27">
        <v>10</v>
      </c>
      <c r="G211" s="27">
        <v>5</v>
      </c>
      <c r="H211" s="29">
        <v>51.49</v>
      </c>
      <c r="I211" s="29">
        <v>514.92999999999995</v>
      </c>
      <c r="J211" s="8">
        <f>IF(OR(A211="",I211=""),"",IF(SUMIFS($I$8:$I$657,$A$8:$A$657,A211)=0,"",I211*SUMIFS('Facturas y gastos'!$D$10:$D$13,'Facturas y gastos'!$A$10:$A$13,A211)/SUMIFS($I$8:$I$657,$A$8:$A$657,A211)))</f>
        <v>514.92894499960414</v>
      </c>
      <c r="K211" s="8">
        <f>IF(J211="","",IF(SUMIFS('Facturas y gastos'!$D$10:$D$13,'Facturas y gastos'!$A$10:$A$13,A211)=0,"",J211*SUMIFS('Facturas y gastos'!$G$10:$G$13,'Facturas y gastos'!$A$10:$A$13,A211)/SUMIFS('Facturas y gastos'!$D$10:$D$13,'Facturas y gastos'!$A$10:$A$13,A211)))</f>
        <v>5.1493250562593955</v>
      </c>
      <c r="L211" s="8">
        <f>IF(J211="","",IF(SUMIFS('Facturas y gastos'!$D$10:$D$13,'Facturas y gastos'!$A$10:$A$13,A211)=0,"",J211*SUMIFS('Facturas y gastos'!$H$10:$H$13,'Facturas y gastos'!$A$10:$A$13,A211)/SUMIFS('Facturas y gastos'!$D$10:$D$13,'Facturas y gastos'!$A$10:$A$13,A211)))</f>
        <v>15.447843293728726</v>
      </c>
      <c r="M211" s="8">
        <f>IF(J211="","",IF(SUMIFS('Facturas y gastos'!$D$10:$D$13,'Facturas y gastos'!$A$10:$A$13,A211)=0,"",J211*SUMIFS('Facturas y gastos'!$I$10:$I$13,'Facturas y gastos'!$A$10:$A$13,A211)/SUMIFS('Facturas y gastos'!$D$10:$D$13,'Facturas y gastos'!$A$10:$A$13,A211)))</f>
        <v>104.18128907329429</v>
      </c>
      <c r="N211" s="8">
        <f>IF(J211="","",IF(SUMIFS('Facturas y gastos'!$D$10:$D$13,'Facturas y gastos'!$A$10:$A$13,A211)=0,"",J211*SUMIFS('Facturas y gastos'!$J$10:$J$13,'Facturas y gastos'!$A$10:$A$13,A211)/SUMIFS('Facturas y gastos'!$D$10:$D$13,'Facturas y gastos'!$A$10:$A$13,A211)))</f>
        <v>0</v>
      </c>
      <c r="O211" s="8">
        <f t="shared" si="6"/>
        <v>629.40875231036784</v>
      </c>
      <c r="P211" s="8" t="str">
        <f>IF(OR(O211="",'Facturas y gastos'!$B$24="",'Facturas y gastos'!$B$45&lt;&gt;"OK",SUM($O$8:$O$657)=0),"",O211*'Facturas y gastos'!$B$43/SUM($O$8:$O$657))</f>
        <v/>
      </c>
      <c r="Q211" s="8" t="str">
        <f>IF(OR(O211="",'Facturas y gastos'!$B$5="",P211=""),"",O211*'Facturas y gastos'!$B$5+P211)</f>
        <v/>
      </c>
      <c r="R211" s="8" t="str">
        <f t="shared" si="7"/>
        <v/>
      </c>
    </row>
    <row r="212" spans="1:18">
      <c r="A212" s="25" t="s">
        <v>60</v>
      </c>
      <c r="B212" s="25">
        <v>86</v>
      </c>
      <c r="C212" s="25" t="s">
        <v>350</v>
      </c>
      <c r="D212" s="25" t="s">
        <v>351</v>
      </c>
      <c r="E212" s="25" t="s">
        <v>108</v>
      </c>
      <c r="F212" s="27">
        <v>10</v>
      </c>
      <c r="G212" s="27">
        <v>5</v>
      </c>
      <c r="H212" s="29">
        <v>51.49</v>
      </c>
      <c r="I212" s="29">
        <v>514.92999999999995</v>
      </c>
      <c r="J212" s="8">
        <f>IF(OR(A212="",I212=""),"",IF(SUMIFS($I$8:$I$657,$A$8:$A$657,A212)=0,"",I212*SUMIFS('Facturas y gastos'!$D$10:$D$13,'Facturas y gastos'!$A$10:$A$13,A212)/SUMIFS($I$8:$I$657,$A$8:$A$657,A212)))</f>
        <v>514.92894499960414</v>
      </c>
      <c r="K212" s="8">
        <f>IF(J212="","",IF(SUMIFS('Facturas y gastos'!$D$10:$D$13,'Facturas y gastos'!$A$10:$A$13,A212)=0,"",J212*SUMIFS('Facturas y gastos'!$G$10:$G$13,'Facturas y gastos'!$A$10:$A$13,A212)/SUMIFS('Facturas y gastos'!$D$10:$D$13,'Facturas y gastos'!$A$10:$A$13,A212)))</f>
        <v>5.1493250562593955</v>
      </c>
      <c r="L212" s="8">
        <f>IF(J212="","",IF(SUMIFS('Facturas y gastos'!$D$10:$D$13,'Facturas y gastos'!$A$10:$A$13,A212)=0,"",J212*SUMIFS('Facturas y gastos'!$H$10:$H$13,'Facturas y gastos'!$A$10:$A$13,A212)/SUMIFS('Facturas y gastos'!$D$10:$D$13,'Facturas y gastos'!$A$10:$A$13,A212)))</f>
        <v>15.447843293728726</v>
      </c>
      <c r="M212" s="8">
        <f>IF(J212="","",IF(SUMIFS('Facturas y gastos'!$D$10:$D$13,'Facturas y gastos'!$A$10:$A$13,A212)=0,"",J212*SUMIFS('Facturas y gastos'!$I$10:$I$13,'Facturas y gastos'!$A$10:$A$13,A212)/SUMIFS('Facturas y gastos'!$D$10:$D$13,'Facturas y gastos'!$A$10:$A$13,A212)))</f>
        <v>104.18128907329429</v>
      </c>
      <c r="N212" s="8">
        <f>IF(J212="","",IF(SUMIFS('Facturas y gastos'!$D$10:$D$13,'Facturas y gastos'!$A$10:$A$13,A212)=0,"",J212*SUMIFS('Facturas y gastos'!$J$10:$J$13,'Facturas y gastos'!$A$10:$A$13,A212)/SUMIFS('Facturas y gastos'!$D$10:$D$13,'Facturas y gastos'!$A$10:$A$13,A212)))</f>
        <v>0</v>
      </c>
      <c r="O212" s="8">
        <f t="shared" si="6"/>
        <v>629.40875231036784</v>
      </c>
      <c r="P212" s="8" t="str">
        <f>IF(OR(O212="",'Facturas y gastos'!$B$24="",'Facturas y gastos'!$B$45&lt;&gt;"OK",SUM($O$8:$O$657)=0),"",O212*'Facturas y gastos'!$B$43/SUM($O$8:$O$657))</f>
        <v/>
      </c>
      <c r="Q212" s="8" t="str">
        <f>IF(OR(O212="",'Facturas y gastos'!$B$5="",P212=""),"",O212*'Facturas y gastos'!$B$5+P212)</f>
        <v/>
      </c>
      <c r="R212" s="8" t="str">
        <f t="shared" si="7"/>
        <v/>
      </c>
    </row>
    <row r="213" spans="1:18">
      <c r="A213" s="25" t="s">
        <v>60</v>
      </c>
      <c r="B213" s="25">
        <v>87</v>
      </c>
      <c r="C213" s="25" t="s">
        <v>352</v>
      </c>
      <c r="D213" s="25" t="s">
        <v>353</v>
      </c>
      <c r="E213" s="25" t="s">
        <v>108</v>
      </c>
      <c r="F213" s="27">
        <v>30</v>
      </c>
      <c r="G213" s="27">
        <v>5</v>
      </c>
      <c r="H213" s="29">
        <v>19.399999999999999</v>
      </c>
      <c r="I213" s="29">
        <v>582.09</v>
      </c>
      <c r="J213" s="8">
        <f>IF(OR(A213="",I213=""),"",IF(SUMIFS($I$8:$I$657,$A$8:$A$657,A213)=0,"",I213*SUMIFS('Facturas y gastos'!$D$10:$D$13,'Facturas y gastos'!$A$10:$A$13,A213)/SUMIFS($I$8:$I$657,$A$8:$A$657,A213)))</f>
        <v>582.0888074006557</v>
      </c>
      <c r="K213" s="8">
        <f>IF(J213="","",IF(SUMIFS('Facturas y gastos'!$D$10:$D$13,'Facturas y gastos'!$A$10:$A$13,A213)=0,"",J213*SUMIFS('Facturas y gastos'!$G$10:$G$13,'Facturas y gastos'!$A$10:$A$13,A213)/SUMIFS('Facturas y gastos'!$D$10:$D$13,'Facturas y gastos'!$A$10:$A$13,A213)))</f>
        <v>5.8209283242344245</v>
      </c>
      <c r="L213" s="8">
        <f>IF(J213="","",IF(SUMIFS('Facturas y gastos'!$D$10:$D$13,'Facturas y gastos'!$A$10:$A$13,A213)=0,"",J213*SUMIFS('Facturas y gastos'!$H$10:$H$13,'Facturas y gastos'!$A$10:$A$13,A213)/SUMIFS('Facturas y gastos'!$D$10:$D$13,'Facturas y gastos'!$A$10:$A$13,A213)))</f>
        <v>17.462635897785244</v>
      </c>
      <c r="M213" s="8">
        <f>IF(J213="","",IF(SUMIFS('Facturas y gastos'!$D$10:$D$13,'Facturas y gastos'!$A$10:$A$13,A213)=0,"",J213*SUMIFS('Facturas y gastos'!$I$10:$I$13,'Facturas y gastos'!$A$10:$A$13,A213)/SUMIFS('Facturas y gastos'!$D$10:$D$13,'Facturas y gastos'!$A$10:$A$13,A213)))</f>
        <v>117.76918524202101</v>
      </c>
      <c r="N213" s="8">
        <f>IF(J213="","",IF(SUMIFS('Facturas y gastos'!$D$10:$D$13,'Facturas y gastos'!$A$10:$A$13,A213)=0,"",J213*SUMIFS('Facturas y gastos'!$J$10:$J$13,'Facturas y gastos'!$A$10:$A$13,A213)/SUMIFS('Facturas y gastos'!$D$10:$D$13,'Facturas y gastos'!$A$10:$A$13,A213)))</f>
        <v>0</v>
      </c>
      <c r="O213" s="8">
        <f t="shared" si="6"/>
        <v>711.49970021622755</v>
      </c>
      <c r="P213" s="8" t="str">
        <f>IF(OR(O213="",'Facturas y gastos'!$B$24="",'Facturas y gastos'!$B$45&lt;&gt;"OK",SUM($O$8:$O$657)=0),"",O213*'Facturas y gastos'!$B$43/SUM($O$8:$O$657))</f>
        <v/>
      </c>
      <c r="Q213" s="8" t="str">
        <f>IF(OR(O213="",'Facturas y gastos'!$B$5="",P213=""),"",O213*'Facturas y gastos'!$B$5+P213)</f>
        <v/>
      </c>
      <c r="R213" s="8" t="str">
        <f t="shared" si="7"/>
        <v/>
      </c>
    </row>
    <row r="214" spans="1:18">
      <c r="A214" s="25" t="s">
        <v>60</v>
      </c>
      <c r="B214" s="25">
        <v>88</v>
      </c>
      <c r="C214" s="25" t="s">
        <v>354</v>
      </c>
      <c r="D214" s="25" t="s">
        <v>353</v>
      </c>
      <c r="E214" s="25" t="s">
        <v>108</v>
      </c>
      <c r="F214" s="27">
        <v>30</v>
      </c>
      <c r="G214" s="27">
        <v>5</v>
      </c>
      <c r="H214" s="29">
        <v>19.399999999999999</v>
      </c>
      <c r="I214" s="29">
        <v>582.09</v>
      </c>
      <c r="J214" s="8">
        <f>IF(OR(A214="",I214=""),"",IF(SUMIFS($I$8:$I$657,$A$8:$A$657,A214)=0,"",I214*SUMIFS('Facturas y gastos'!$D$10:$D$13,'Facturas y gastos'!$A$10:$A$13,A214)/SUMIFS($I$8:$I$657,$A$8:$A$657,A214)))</f>
        <v>582.0888074006557</v>
      </c>
      <c r="K214" s="8">
        <f>IF(J214="","",IF(SUMIFS('Facturas y gastos'!$D$10:$D$13,'Facturas y gastos'!$A$10:$A$13,A214)=0,"",J214*SUMIFS('Facturas y gastos'!$G$10:$G$13,'Facturas y gastos'!$A$10:$A$13,A214)/SUMIFS('Facturas y gastos'!$D$10:$D$13,'Facturas y gastos'!$A$10:$A$13,A214)))</f>
        <v>5.8209283242344245</v>
      </c>
      <c r="L214" s="8">
        <f>IF(J214="","",IF(SUMIFS('Facturas y gastos'!$D$10:$D$13,'Facturas y gastos'!$A$10:$A$13,A214)=0,"",J214*SUMIFS('Facturas y gastos'!$H$10:$H$13,'Facturas y gastos'!$A$10:$A$13,A214)/SUMIFS('Facturas y gastos'!$D$10:$D$13,'Facturas y gastos'!$A$10:$A$13,A214)))</f>
        <v>17.462635897785244</v>
      </c>
      <c r="M214" s="8">
        <f>IF(J214="","",IF(SUMIFS('Facturas y gastos'!$D$10:$D$13,'Facturas y gastos'!$A$10:$A$13,A214)=0,"",J214*SUMIFS('Facturas y gastos'!$I$10:$I$13,'Facturas y gastos'!$A$10:$A$13,A214)/SUMIFS('Facturas y gastos'!$D$10:$D$13,'Facturas y gastos'!$A$10:$A$13,A214)))</f>
        <v>117.76918524202101</v>
      </c>
      <c r="N214" s="8">
        <f>IF(J214="","",IF(SUMIFS('Facturas y gastos'!$D$10:$D$13,'Facturas y gastos'!$A$10:$A$13,A214)=0,"",J214*SUMIFS('Facturas y gastos'!$J$10:$J$13,'Facturas y gastos'!$A$10:$A$13,A214)/SUMIFS('Facturas y gastos'!$D$10:$D$13,'Facturas y gastos'!$A$10:$A$13,A214)))</f>
        <v>0</v>
      </c>
      <c r="O214" s="8">
        <f t="shared" si="6"/>
        <v>711.49970021622755</v>
      </c>
      <c r="P214" s="8" t="str">
        <f>IF(OR(O214="",'Facturas y gastos'!$B$24="",'Facturas y gastos'!$B$45&lt;&gt;"OK",SUM($O$8:$O$657)=0),"",O214*'Facturas y gastos'!$B$43/SUM($O$8:$O$657))</f>
        <v/>
      </c>
      <c r="Q214" s="8" t="str">
        <f>IF(OR(O214="",'Facturas y gastos'!$B$5="",P214=""),"",O214*'Facturas y gastos'!$B$5+P214)</f>
        <v/>
      </c>
      <c r="R214" s="8" t="str">
        <f t="shared" si="7"/>
        <v/>
      </c>
    </row>
    <row r="215" spans="1:18">
      <c r="A215" s="25" t="s">
        <v>60</v>
      </c>
      <c r="B215" s="25">
        <v>89</v>
      </c>
      <c r="C215" s="25" t="s">
        <v>355</v>
      </c>
      <c r="D215" s="25" t="s">
        <v>353</v>
      </c>
      <c r="E215" s="25" t="s">
        <v>108</v>
      </c>
      <c r="F215" s="27">
        <v>30</v>
      </c>
      <c r="G215" s="27">
        <v>5</v>
      </c>
      <c r="H215" s="29">
        <v>19.399999999999999</v>
      </c>
      <c r="I215" s="29">
        <v>582.09</v>
      </c>
      <c r="J215" s="8">
        <f>IF(OR(A215="",I215=""),"",IF(SUMIFS($I$8:$I$657,$A$8:$A$657,A215)=0,"",I215*SUMIFS('Facturas y gastos'!$D$10:$D$13,'Facturas y gastos'!$A$10:$A$13,A215)/SUMIFS($I$8:$I$657,$A$8:$A$657,A215)))</f>
        <v>582.0888074006557</v>
      </c>
      <c r="K215" s="8">
        <f>IF(J215="","",IF(SUMIFS('Facturas y gastos'!$D$10:$D$13,'Facturas y gastos'!$A$10:$A$13,A215)=0,"",J215*SUMIFS('Facturas y gastos'!$G$10:$G$13,'Facturas y gastos'!$A$10:$A$13,A215)/SUMIFS('Facturas y gastos'!$D$10:$D$13,'Facturas y gastos'!$A$10:$A$13,A215)))</f>
        <v>5.8209283242344245</v>
      </c>
      <c r="L215" s="8">
        <f>IF(J215="","",IF(SUMIFS('Facturas y gastos'!$D$10:$D$13,'Facturas y gastos'!$A$10:$A$13,A215)=0,"",J215*SUMIFS('Facturas y gastos'!$H$10:$H$13,'Facturas y gastos'!$A$10:$A$13,A215)/SUMIFS('Facturas y gastos'!$D$10:$D$13,'Facturas y gastos'!$A$10:$A$13,A215)))</f>
        <v>17.462635897785244</v>
      </c>
      <c r="M215" s="8">
        <f>IF(J215="","",IF(SUMIFS('Facturas y gastos'!$D$10:$D$13,'Facturas y gastos'!$A$10:$A$13,A215)=0,"",J215*SUMIFS('Facturas y gastos'!$I$10:$I$13,'Facturas y gastos'!$A$10:$A$13,A215)/SUMIFS('Facturas y gastos'!$D$10:$D$13,'Facturas y gastos'!$A$10:$A$13,A215)))</f>
        <v>117.76918524202101</v>
      </c>
      <c r="N215" s="8">
        <f>IF(J215="","",IF(SUMIFS('Facturas y gastos'!$D$10:$D$13,'Facturas y gastos'!$A$10:$A$13,A215)=0,"",J215*SUMIFS('Facturas y gastos'!$J$10:$J$13,'Facturas y gastos'!$A$10:$A$13,A215)/SUMIFS('Facturas y gastos'!$D$10:$D$13,'Facturas y gastos'!$A$10:$A$13,A215)))</f>
        <v>0</v>
      </c>
      <c r="O215" s="8">
        <f t="shared" si="6"/>
        <v>711.49970021622755</v>
      </c>
      <c r="P215" s="8" t="str">
        <f>IF(OR(O215="",'Facturas y gastos'!$B$24="",'Facturas y gastos'!$B$45&lt;&gt;"OK",SUM($O$8:$O$657)=0),"",O215*'Facturas y gastos'!$B$43/SUM($O$8:$O$657))</f>
        <v/>
      </c>
      <c r="Q215" s="8" t="str">
        <f>IF(OR(O215="",'Facturas y gastos'!$B$5="",P215=""),"",O215*'Facturas y gastos'!$B$5+P215)</f>
        <v/>
      </c>
      <c r="R215" s="8" t="str">
        <f t="shared" si="7"/>
        <v/>
      </c>
    </row>
    <row r="216" spans="1:18">
      <c r="A216" s="25" t="s">
        <v>60</v>
      </c>
      <c r="B216" s="25">
        <v>90</v>
      </c>
      <c r="C216" s="25" t="s">
        <v>356</v>
      </c>
      <c r="D216" s="25" t="s">
        <v>357</v>
      </c>
      <c r="E216" s="25" t="s">
        <v>108</v>
      </c>
      <c r="F216" s="27">
        <v>24</v>
      </c>
      <c r="G216" s="27">
        <v>3</v>
      </c>
      <c r="H216" s="29">
        <v>15.37</v>
      </c>
      <c r="I216" s="29">
        <v>368.96</v>
      </c>
      <c r="J216" s="8">
        <f>IF(OR(A216="",I216=""),"",IF(SUMIFS($I$8:$I$657,$A$8:$A$657,A216)=0,"",I216*SUMIFS('Facturas y gastos'!$D$10:$D$13,'Facturas y gastos'!$A$10:$A$13,A216)/SUMIFS($I$8:$I$657,$A$8:$A$657,A216)))</f>
        <v>368.95924406628853</v>
      </c>
      <c r="K216" s="8">
        <f>IF(J216="","",IF(SUMIFS('Facturas y gastos'!$D$10:$D$13,'Facturas y gastos'!$A$10:$A$13,A216)=0,"",J216*SUMIFS('Facturas y gastos'!$G$10:$G$13,'Facturas y gastos'!$A$10:$A$13,A216)/SUMIFS('Facturas y gastos'!$D$10:$D$13,'Facturas y gastos'!$A$10:$A$13,A216)))</f>
        <v>3.6896179534256435</v>
      </c>
      <c r="L216" s="8">
        <f>IF(J216="","",IF(SUMIFS('Facturas y gastos'!$D$10:$D$13,'Facturas y gastos'!$A$10:$A$13,A216)=0,"",J216*SUMIFS('Facturas y gastos'!$H$10:$H$13,'Facturas y gastos'!$A$10:$A$13,A216)/SUMIFS('Facturas y gastos'!$D$10:$D$13,'Facturas y gastos'!$A$10:$A$13,A216)))</f>
        <v>11.068759368563011</v>
      </c>
      <c r="M216" s="8">
        <f>IF(J216="","",IF(SUMIFS('Facturas y gastos'!$D$10:$D$13,'Facturas y gastos'!$A$10:$A$13,A216)=0,"",J216*SUMIFS('Facturas y gastos'!$I$10:$I$13,'Facturas y gastos'!$A$10:$A$13,A216)/SUMIFS('Facturas y gastos'!$D$10:$D$13,'Facturas y gastos'!$A$10:$A$13,A216)))</f>
        <v>74.648453996626074</v>
      </c>
      <c r="N216" s="8">
        <f>IF(J216="","",IF(SUMIFS('Facturas y gastos'!$D$10:$D$13,'Facturas y gastos'!$A$10:$A$13,A216)=0,"",J216*SUMIFS('Facturas y gastos'!$J$10:$J$13,'Facturas y gastos'!$A$10:$A$13,A216)/SUMIFS('Facturas y gastos'!$D$10:$D$13,'Facturas y gastos'!$A$10:$A$13,A216)))</f>
        <v>0</v>
      </c>
      <c r="O216" s="8">
        <f t="shared" si="6"/>
        <v>450.98683947805199</v>
      </c>
      <c r="P216" s="8" t="str">
        <f>IF(OR(O216="",'Facturas y gastos'!$B$24="",'Facturas y gastos'!$B$45&lt;&gt;"OK",SUM($O$8:$O$657)=0),"",O216*'Facturas y gastos'!$B$43/SUM($O$8:$O$657))</f>
        <v/>
      </c>
      <c r="Q216" s="8" t="str">
        <f>IF(OR(O216="",'Facturas y gastos'!$B$5="",P216=""),"",O216*'Facturas y gastos'!$B$5+P216)</f>
        <v/>
      </c>
      <c r="R216" s="8" t="str">
        <f t="shared" si="7"/>
        <v/>
      </c>
    </row>
    <row r="217" spans="1:18">
      <c r="A217" s="25" t="s">
        <v>60</v>
      </c>
      <c r="B217" s="25">
        <v>91</v>
      </c>
      <c r="C217" s="25" t="s">
        <v>358</v>
      </c>
      <c r="D217" s="25" t="s">
        <v>357</v>
      </c>
      <c r="E217" s="25" t="s">
        <v>108</v>
      </c>
      <c r="F217" s="27">
        <v>24</v>
      </c>
      <c r="G217" s="27">
        <v>3</v>
      </c>
      <c r="H217" s="29">
        <v>15.37</v>
      </c>
      <c r="I217" s="29">
        <v>368.96</v>
      </c>
      <c r="J217" s="8">
        <f>IF(OR(A217="",I217=""),"",IF(SUMIFS($I$8:$I$657,$A$8:$A$657,A217)=0,"",I217*SUMIFS('Facturas y gastos'!$D$10:$D$13,'Facturas y gastos'!$A$10:$A$13,A217)/SUMIFS($I$8:$I$657,$A$8:$A$657,A217)))</f>
        <v>368.95924406628853</v>
      </c>
      <c r="K217" s="8">
        <f>IF(J217="","",IF(SUMIFS('Facturas y gastos'!$D$10:$D$13,'Facturas y gastos'!$A$10:$A$13,A217)=0,"",J217*SUMIFS('Facturas y gastos'!$G$10:$G$13,'Facturas y gastos'!$A$10:$A$13,A217)/SUMIFS('Facturas y gastos'!$D$10:$D$13,'Facturas y gastos'!$A$10:$A$13,A217)))</f>
        <v>3.6896179534256435</v>
      </c>
      <c r="L217" s="8">
        <f>IF(J217="","",IF(SUMIFS('Facturas y gastos'!$D$10:$D$13,'Facturas y gastos'!$A$10:$A$13,A217)=0,"",J217*SUMIFS('Facturas y gastos'!$H$10:$H$13,'Facturas y gastos'!$A$10:$A$13,A217)/SUMIFS('Facturas y gastos'!$D$10:$D$13,'Facturas y gastos'!$A$10:$A$13,A217)))</f>
        <v>11.068759368563011</v>
      </c>
      <c r="M217" s="8">
        <f>IF(J217="","",IF(SUMIFS('Facturas y gastos'!$D$10:$D$13,'Facturas y gastos'!$A$10:$A$13,A217)=0,"",J217*SUMIFS('Facturas y gastos'!$I$10:$I$13,'Facturas y gastos'!$A$10:$A$13,A217)/SUMIFS('Facturas y gastos'!$D$10:$D$13,'Facturas y gastos'!$A$10:$A$13,A217)))</f>
        <v>74.648453996626074</v>
      </c>
      <c r="N217" s="8">
        <f>IF(J217="","",IF(SUMIFS('Facturas y gastos'!$D$10:$D$13,'Facturas y gastos'!$A$10:$A$13,A217)=0,"",J217*SUMIFS('Facturas y gastos'!$J$10:$J$13,'Facturas y gastos'!$A$10:$A$13,A217)/SUMIFS('Facturas y gastos'!$D$10:$D$13,'Facturas y gastos'!$A$10:$A$13,A217)))</f>
        <v>0</v>
      </c>
      <c r="O217" s="8">
        <f t="shared" si="6"/>
        <v>450.98683947805199</v>
      </c>
      <c r="P217" s="8" t="str">
        <f>IF(OR(O217="",'Facturas y gastos'!$B$24="",'Facturas y gastos'!$B$45&lt;&gt;"OK",SUM($O$8:$O$657)=0),"",O217*'Facturas y gastos'!$B$43/SUM($O$8:$O$657))</f>
        <v/>
      </c>
      <c r="Q217" s="8" t="str">
        <f>IF(OR(O217="",'Facturas y gastos'!$B$5="",P217=""),"",O217*'Facturas y gastos'!$B$5+P217)</f>
        <v/>
      </c>
      <c r="R217" s="8" t="str">
        <f t="shared" si="7"/>
        <v/>
      </c>
    </row>
    <row r="218" spans="1:18">
      <c r="A218" s="25" t="s">
        <v>60</v>
      </c>
      <c r="B218" s="25">
        <v>92</v>
      </c>
      <c r="C218" s="25" t="s">
        <v>359</v>
      </c>
      <c r="D218" s="25" t="s">
        <v>360</v>
      </c>
      <c r="E218" s="25" t="s">
        <v>108</v>
      </c>
      <c r="F218" s="27">
        <v>102</v>
      </c>
      <c r="G218" s="27">
        <v>17</v>
      </c>
      <c r="H218" s="29">
        <v>6.27</v>
      </c>
      <c r="I218" s="29">
        <v>639.4</v>
      </c>
      <c r="J218" s="8">
        <f>IF(OR(A218="",I218=""),"",IF(SUMIFS($I$8:$I$657,$A$8:$A$657,A218)=0,"",I218*SUMIFS('Facturas y gastos'!$D$10:$D$13,'Facturas y gastos'!$A$10:$A$13,A218)/SUMIFS($I$8:$I$657,$A$8:$A$657,A218)))</f>
        <v>639.39868998261295</v>
      </c>
      <c r="K218" s="8">
        <f>IF(J218="","",IF(SUMIFS('Facturas y gastos'!$D$10:$D$13,'Facturas y gastos'!$A$10:$A$13,A218)=0,"",J218*SUMIFS('Facturas y gastos'!$G$10:$G$13,'Facturas y gastos'!$A$10:$A$13,A218)/SUMIFS('Facturas y gastos'!$D$10:$D$13,'Facturas y gastos'!$A$10:$A$13,A218)))</f>
        <v>6.394031112912935</v>
      </c>
      <c r="L218" s="8">
        <f>IF(J218="","",IF(SUMIFS('Facturas y gastos'!$D$10:$D$13,'Facturas y gastos'!$A$10:$A$13,A218)=0,"",J218*SUMIFS('Facturas y gastos'!$H$10:$H$13,'Facturas y gastos'!$A$10:$A$13,A218)/SUMIFS('Facturas y gastos'!$D$10:$D$13,'Facturas y gastos'!$A$10:$A$13,A218)))</f>
        <v>19.181929586565452</v>
      </c>
      <c r="M218" s="8">
        <f>IF(J218="","",IF(SUMIFS('Facturas y gastos'!$D$10:$D$13,'Facturas y gastos'!$A$10:$A$13,A218)=0,"",J218*SUMIFS('Facturas y gastos'!$I$10:$I$13,'Facturas y gastos'!$A$10:$A$13,A218)/SUMIFS('Facturas y gastos'!$D$10:$D$13,'Facturas y gastos'!$A$10:$A$13,A218)))</f>
        <v>129.36421694883649</v>
      </c>
      <c r="N218" s="8">
        <f>IF(J218="","",IF(SUMIFS('Facturas y gastos'!$D$10:$D$13,'Facturas y gastos'!$A$10:$A$13,A218)=0,"",J218*SUMIFS('Facturas y gastos'!$J$10:$J$13,'Facturas y gastos'!$A$10:$A$13,A218)/SUMIFS('Facturas y gastos'!$D$10:$D$13,'Facturas y gastos'!$A$10:$A$13,A218)))</f>
        <v>0</v>
      </c>
      <c r="O218" s="8">
        <f t="shared" si="6"/>
        <v>781.55080540510198</v>
      </c>
      <c r="P218" s="8" t="str">
        <f>IF(OR(O218="",'Facturas y gastos'!$B$24="",'Facturas y gastos'!$B$45&lt;&gt;"OK",SUM($O$8:$O$657)=0),"",O218*'Facturas y gastos'!$B$43/SUM($O$8:$O$657))</f>
        <v/>
      </c>
      <c r="Q218" s="8" t="str">
        <f>IF(OR(O218="",'Facturas y gastos'!$B$5="",P218=""),"",O218*'Facturas y gastos'!$B$5+P218)</f>
        <v/>
      </c>
      <c r="R218" s="8" t="str">
        <f t="shared" si="7"/>
        <v/>
      </c>
    </row>
    <row r="219" spans="1:18">
      <c r="A219" s="25" t="s">
        <v>60</v>
      </c>
      <c r="B219" s="25">
        <v>93</v>
      </c>
      <c r="C219" s="25" t="s">
        <v>361</v>
      </c>
      <c r="D219" s="25" t="s">
        <v>360</v>
      </c>
      <c r="E219" s="25" t="s">
        <v>108</v>
      </c>
      <c r="F219" s="27">
        <v>30</v>
      </c>
      <c r="G219" s="27">
        <v>15</v>
      </c>
      <c r="H219" s="29">
        <v>14.93</v>
      </c>
      <c r="I219" s="29">
        <v>447.76</v>
      </c>
      <c r="J219" s="8">
        <f>IF(OR(A219="",I219=""),"",IF(SUMIFS($I$8:$I$657,$A$8:$A$657,A219)=0,"",I219*SUMIFS('Facturas y gastos'!$D$10:$D$13,'Facturas y gastos'!$A$10:$A$13,A219)/SUMIFS($I$8:$I$657,$A$8:$A$657,A219)))</f>
        <v>447.75908261904095</v>
      </c>
      <c r="K219" s="8">
        <f>IF(J219="","",IF(SUMIFS('Facturas y gastos'!$D$10:$D$13,'Facturas y gastos'!$A$10:$A$13,A219)=0,"",J219*SUMIFS('Facturas y gastos'!$G$10:$G$13,'Facturas y gastos'!$A$10:$A$13,A219)/SUMIFS('Facturas y gastos'!$D$10:$D$13,'Facturas y gastos'!$A$10:$A$13,A219)))</f>
        <v>4.4776217877977729</v>
      </c>
      <c r="L219" s="8">
        <f>IF(J219="","",IF(SUMIFS('Facturas y gastos'!$D$10:$D$13,'Facturas y gastos'!$A$10:$A$13,A219)=0,"",J219*SUMIFS('Facturas y gastos'!$H$10:$H$13,'Facturas y gastos'!$A$10:$A$13,A219)/SUMIFS('Facturas y gastos'!$D$10:$D$13,'Facturas y gastos'!$A$10:$A$13,A219)))</f>
        <v>13.432750690773455</v>
      </c>
      <c r="M219" s="8">
        <f>IF(J219="","",IF(SUMIFS('Facturas y gastos'!$D$10:$D$13,'Facturas y gastos'!$A$10:$A$13,A219)=0,"",J219*SUMIFS('Facturas y gastos'!$I$10:$I$13,'Facturas y gastos'!$A$10:$A$13,A219)/SUMIFS('Facturas y gastos'!$D$10:$D$13,'Facturas y gastos'!$A$10:$A$13,A219)))</f>
        <v>90.591369691915901</v>
      </c>
      <c r="N219" s="8">
        <f>IF(J219="","",IF(SUMIFS('Facturas y gastos'!$D$10:$D$13,'Facturas y gastos'!$A$10:$A$13,A219)=0,"",J219*SUMIFS('Facturas y gastos'!$J$10:$J$13,'Facturas y gastos'!$A$10:$A$13,A219)/SUMIFS('Facturas y gastos'!$D$10:$D$13,'Facturas y gastos'!$A$10:$A$13,A219)))</f>
        <v>0</v>
      </c>
      <c r="O219" s="8">
        <f t="shared" si="6"/>
        <v>547.30558121393256</v>
      </c>
      <c r="P219" s="8" t="str">
        <f>IF(OR(O219="",'Facturas y gastos'!$B$24="",'Facturas y gastos'!$B$45&lt;&gt;"OK",SUM($O$8:$O$657)=0),"",O219*'Facturas y gastos'!$B$43/SUM($O$8:$O$657))</f>
        <v/>
      </c>
      <c r="Q219" s="8" t="str">
        <f>IF(OR(O219="",'Facturas y gastos'!$B$5="",P219=""),"",O219*'Facturas y gastos'!$B$5+P219)</f>
        <v/>
      </c>
      <c r="R219" s="8" t="str">
        <f t="shared" si="7"/>
        <v/>
      </c>
    </row>
    <row r="220" spans="1:18">
      <c r="A220" s="25" t="s">
        <v>60</v>
      </c>
      <c r="B220" s="25">
        <v>94</v>
      </c>
      <c r="C220" s="25" t="s">
        <v>362</v>
      </c>
      <c r="D220" s="25" t="s">
        <v>360</v>
      </c>
      <c r="E220" s="25" t="s">
        <v>108</v>
      </c>
      <c r="F220" s="27">
        <v>40</v>
      </c>
      <c r="G220" s="27">
        <v>10</v>
      </c>
      <c r="H220" s="29">
        <v>12.69</v>
      </c>
      <c r="I220" s="29">
        <v>507.46</v>
      </c>
      <c r="J220" s="8">
        <f>IF(OR(A220="",I220=""),"",IF(SUMIFS($I$8:$I$657,$A$8:$A$657,A220)=0,"",I220*SUMIFS('Facturas y gastos'!$D$10:$D$13,'Facturas y gastos'!$A$10:$A$13,A220)/SUMIFS($I$8:$I$657,$A$8:$A$657,A220)))</f>
        <v>507.45896030431146</v>
      </c>
      <c r="K220" s="8">
        <f>IF(J220="","",IF(SUMIFS('Facturas y gastos'!$D$10:$D$13,'Facturas y gastos'!$A$10:$A$13,A220)=0,"",J220*SUMIFS('Facturas y gastos'!$G$10:$G$13,'Facturas y gastos'!$A$10:$A$13,A220)/SUMIFS('Facturas y gastos'!$D$10:$D$13,'Facturas y gastos'!$A$10:$A$13,A220)))</f>
        <v>5.0746246927725958</v>
      </c>
      <c r="L220" s="8">
        <f>IF(J220="","",IF(SUMIFS('Facturas y gastos'!$D$10:$D$13,'Facturas y gastos'!$A$10:$A$13,A220)=0,"",J220*SUMIFS('Facturas y gastos'!$H$10:$H$13,'Facturas y gastos'!$A$10:$A$13,A220)/SUMIFS('Facturas y gastos'!$D$10:$D$13,'Facturas y gastos'!$A$10:$A$13,A220)))</f>
        <v>15.223744116356746</v>
      </c>
      <c r="M220" s="8">
        <f>IF(J220="","",IF(SUMIFS('Facturas y gastos'!$D$10:$D$13,'Facturas y gastos'!$A$10:$A$13,A220)=0,"",J220*SUMIFS('Facturas y gastos'!$I$10:$I$13,'Facturas y gastos'!$A$10:$A$13,A220)/SUMIFS('Facturas y gastos'!$D$10:$D$13,'Facturas y gastos'!$A$10:$A$13,A220)))</f>
        <v>102.66994922248445</v>
      </c>
      <c r="N220" s="8">
        <f>IF(J220="","",IF(SUMIFS('Facturas y gastos'!$D$10:$D$13,'Facturas y gastos'!$A$10:$A$13,A220)=0,"",J220*SUMIFS('Facturas y gastos'!$J$10:$J$13,'Facturas y gastos'!$A$10:$A$13,A220)/SUMIFS('Facturas y gastos'!$D$10:$D$13,'Facturas y gastos'!$A$10:$A$13,A220)))</f>
        <v>0</v>
      </c>
      <c r="O220" s="8">
        <f t="shared" si="6"/>
        <v>620.27802895038008</v>
      </c>
      <c r="P220" s="8" t="str">
        <f>IF(OR(O220="",'Facturas y gastos'!$B$24="",'Facturas y gastos'!$B$45&lt;&gt;"OK",SUM($O$8:$O$657)=0),"",O220*'Facturas y gastos'!$B$43/SUM($O$8:$O$657))</f>
        <v/>
      </c>
      <c r="Q220" s="8" t="str">
        <f>IF(OR(O220="",'Facturas y gastos'!$B$5="",P220=""),"",O220*'Facturas y gastos'!$B$5+P220)</f>
        <v/>
      </c>
      <c r="R220" s="8" t="str">
        <f t="shared" si="7"/>
        <v/>
      </c>
    </row>
    <row r="221" spans="1:18">
      <c r="A221" s="25" t="s">
        <v>60</v>
      </c>
      <c r="B221" s="25">
        <v>95</v>
      </c>
      <c r="C221" s="25" t="s">
        <v>363</v>
      </c>
      <c r="D221" s="25" t="s">
        <v>360</v>
      </c>
      <c r="E221" s="25" t="s">
        <v>108</v>
      </c>
      <c r="F221" s="27">
        <v>120</v>
      </c>
      <c r="G221" s="27">
        <v>10</v>
      </c>
      <c r="H221" s="29">
        <v>4.18</v>
      </c>
      <c r="I221" s="29">
        <v>501.49</v>
      </c>
      <c r="J221" s="8">
        <f>IF(OR(A221="",I221=""),"",IF(SUMIFS($I$8:$I$657,$A$8:$A$657,A221)=0,"",I221*SUMIFS('Facturas y gastos'!$D$10:$D$13,'Facturas y gastos'!$A$10:$A$13,A221)/SUMIFS($I$8:$I$657,$A$8:$A$657,A221)))</f>
        <v>501.48897253578446</v>
      </c>
      <c r="K221" s="8">
        <f>IF(J221="","",IF(SUMIFS('Facturas y gastos'!$D$10:$D$13,'Facturas y gastos'!$A$10:$A$13,A221)=0,"",J221*SUMIFS('Facturas y gastos'!$G$10:$G$13,'Facturas y gastos'!$A$10:$A$13,A221)/SUMIFS('Facturas y gastos'!$D$10:$D$13,'Facturas y gastos'!$A$10:$A$13,A221)))</f>
        <v>5.0149244022751134</v>
      </c>
      <c r="L221" s="8">
        <f>IF(J221="","",IF(SUMIFS('Facturas y gastos'!$D$10:$D$13,'Facturas y gastos'!$A$10:$A$13,A221)=0,"",J221*SUMIFS('Facturas y gastos'!$H$10:$H$13,'Facturas y gastos'!$A$10:$A$13,A221)/SUMIFS('Facturas y gastos'!$D$10:$D$13,'Facturas y gastos'!$A$10:$A$13,A221)))</f>
        <v>15.044644773798419</v>
      </c>
      <c r="M221" s="8">
        <f>IF(J221="","",IF(SUMIFS('Facturas y gastos'!$D$10:$D$13,'Facturas y gastos'!$A$10:$A$13,A221)=0,"",J221*SUMIFS('Facturas y gastos'!$I$10:$I$13,'Facturas y gastos'!$A$10:$A$13,A221)/SUMIFS('Facturas y gastos'!$D$10:$D$13,'Facturas y gastos'!$A$10:$A$13,A221)))</f>
        <v>101.4620912694276</v>
      </c>
      <c r="N221" s="8">
        <f>IF(J221="","",IF(SUMIFS('Facturas y gastos'!$D$10:$D$13,'Facturas y gastos'!$A$10:$A$13,A221)=0,"",J221*SUMIFS('Facturas y gastos'!$J$10:$J$13,'Facturas y gastos'!$A$10:$A$13,A221)/SUMIFS('Facturas y gastos'!$D$10:$D$13,'Facturas y gastos'!$A$10:$A$13,A221)))</f>
        <v>0</v>
      </c>
      <c r="O221" s="8">
        <f t="shared" si="6"/>
        <v>612.98078417673537</v>
      </c>
      <c r="P221" s="8" t="str">
        <f>IF(OR(O221="",'Facturas y gastos'!$B$24="",'Facturas y gastos'!$B$45&lt;&gt;"OK",SUM($O$8:$O$657)=0),"",O221*'Facturas y gastos'!$B$43/SUM($O$8:$O$657))</f>
        <v/>
      </c>
      <c r="Q221" s="8" t="str">
        <f>IF(OR(O221="",'Facturas y gastos'!$B$5="",P221=""),"",O221*'Facturas y gastos'!$B$5+P221)</f>
        <v/>
      </c>
      <c r="R221" s="8" t="str">
        <f t="shared" si="7"/>
        <v/>
      </c>
    </row>
    <row r="222" spans="1:18">
      <c r="A222" s="25" t="s">
        <v>60</v>
      </c>
      <c r="B222" s="25">
        <v>96</v>
      </c>
      <c r="C222" s="25" t="s">
        <v>364</v>
      </c>
      <c r="D222" s="25" t="s">
        <v>365</v>
      </c>
      <c r="E222" s="25" t="s">
        <v>108</v>
      </c>
      <c r="F222" s="27">
        <v>1800</v>
      </c>
      <c r="G222" s="27">
        <v>3</v>
      </c>
      <c r="H222" s="29">
        <v>0.21</v>
      </c>
      <c r="I222" s="29">
        <v>376.12</v>
      </c>
      <c r="J222" s="8">
        <f>IF(OR(A222="",I222=""),"",IF(SUMIFS($I$8:$I$657,$A$8:$A$657,A222)=0,"",I222*SUMIFS('Facturas y gastos'!$D$10:$D$13,'Facturas y gastos'!$A$10:$A$13,A222)/SUMIFS($I$8:$I$657,$A$8:$A$657,A222)))</f>
        <v>376.11922939671632</v>
      </c>
      <c r="K222" s="8">
        <f>IF(J222="","",IF(SUMIFS('Facturas y gastos'!$D$10:$D$13,'Facturas y gastos'!$A$10:$A$13,A222)=0,"",J222*SUMIFS('Facturas y gastos'!$G$10:$G$13,'Facturas y gastos'!$A$10:$A$13,A222)/SUMIFS('Facturas y gastos'!$D$10:$D$13,'Facturas y gastos'!$A$10:$A$13,A222)))</f>
        <v>3.7612183018279848</v>
      </c>
      <c r="L222" s="8">
        <f>IF(J222="","",IF(SUMIFS('Facturas y gastos'!$D$10:$D$13,'Facturas y gastos'!$A$10:$A$13,A222)=0,"",J222*SUMIFS('Facturas y gastos'!$H$10:$H$13,'Facturas y gastos'!$A$10:$A$13,A222)/SUMIFS('Facturas y gastos'!$D$10:$D$13,'Facturas y gastos'!$A$10:$A$13,A222)))</f>
        <v>11.283558580073503</v>
      </c>
      <c r="M222" s="8">
        <f>IF(J222="","",IF(SUMIFS('Facturas y gastos'!$D$10:$D$13,'Facturas y gastos'!$A$10:$A$13,A222)=0,"",J222*SUMIFS('Facturas y gastos'!$I$10:$I$13,'Facturas y gastos'!$A$10:$A$13,A222)/SUMIFS('Facturas y gastos'!$D$10:$D$13,'Facturas y gastos'!$A$10:$A$13,A222)))</f>
        <v>76.097074255233636</v>
      </c>
      <c r="N222" s="8">
        <f>IF(J222="","",IF(SUMIFS('Facturas y gastos'!$D$10:$D$13,'Facturas y gastos'!$A$10:$A$13,A222)=0,"",J222*SUMIFS('Facturas y gastos'!$J$10:$J$13,'Facturas y gastos'!$A$10:$A$13,A222)/SUMIFS('Facturas y gastos'!$D$10:$D$13,'Facturas y gastos'!$A$10:$A$13,A222)))</f>
        <v>0</v>
      </c>
      <c r="O222" s="8">
        <f t="shared" si="6"/>
        <v>459.73864393019545</v>
      </c>
      <c r="P222" s="8" t="str">
        <f>IF(OR(O222="",'Facturas y gastos'!$B$24="",'Facturas y gastos'!$B$45&lt;&gt;"OK",SUM($O$8:$O$657)=0),"",O222*'Facturas y gastos'!$B$43/SUM($O$8:$O$657))</f>
        <v/>
      </c>
      <c r="Q222" s="8" t="str">
        <f>IF(OR(O222="",'Facturas y gastos'!$B$5="",P222=""),"",O222*'Facturas y gastos'!$B$5+P222)</f>
        <v/>
      </c>
      <c r="R222" s="8" t="str">
        <f t="shared" si="7"/>
        <v/>
      </c>
    </row>
    <row r="223" spans="1:18">
      <c r="A223" s="25" t="s">
        <v>60</v>
      </c>
      <c r="B223" s="25">
        <v>97</v>
      </c>
      <c r="C223" s="25" t="s">
        <v>366</v>
      </c>
      <c r="D223" s="25" t="s">
        <v>367</v>
      </c>
      <c r="E223" s="25" t="s">
        <v>108</v>
      </c>
      <c r="F223" s="27">
        <v>1800</v>
      </c>
      <c r="G223" s="27">
        <v>3</v>
      </c>
      <c r="H223" s="29">
        <v>0.21</v>
      </c>
      <c r="I223" s="29">
        <v>376.12</v>
      </c>
      <c r="J223" s="8">
        <f>IF(OR(A223="",I223=""),"",IF(SUMIFS($I$8:$I$657,$A$8:$A$657,A223)=0,"",I223*SUMIFS('Facturas y gastos'!$D$10:$D$13,'Facturas y gastos'!$A$10:$A$13,A223)/SUMIFS($I$8:$I$657,$A$8:$A$657,A223)))</f>
        <v>376.11922939671632</v>
      </c>
      <c r="K223" s="8">
        <f>IF(J223="","",IF(SUMIFS('Facturas y gastos'!$D$10:$D$13,'Facturas y gastos'!$A$10:$A$13,A223)=0,"",J223*SUMIFS('Facturas y gastos'!$G$10:$G$13,'Facturas y gastos'!$A$10:$A$13,A223)/SUMIFS('Facturas y gastos'!$D$10:$D$13,'Facturas y gastos'!$A$10:$A$13,A223)))</f>
        <v>3.7612183018279848</v>
      </c>
      <c r="L223" s="8">
        <f>IF(J223="","",IF(SUMIFS('Facturas y gastos'!$D$10:$D$13,'Facturas y gastos'!$A$10:$A$13,A223)=0,"",J223*SUMIFS('Facturas y gastos'!$H$10:$H$13,'Facturas y gastos'!$A$10:$A$13,A223)/SUMIFS('Facturas y gastos'!$D$10:$D$13,'Facturas y gastos'!$A$10:$A$13,A223)))</f>
        <v>11.283558580073503</v>
      </c>
      <c r="M223" s="8">
        <f>IF(J223="","",IF(SUMIFS('Facturas y gastos'!$D$10:$D$13,'Facturas y gastos'!$A$10:$A$13,A223)=0,"",J223*SUMIFS('Facturas y gastos'!$I$10:$I$13,'Facturas y gastos'!$A$10:$A$13,A223)/SUMIFS('Facturas y gastos'!$D$10:$D$13,'Facturas y gastos'!$A$10:$A$13,A223)))</f>
        <v>76.097074255233636</v>
      </c>
      <c r="N223" s="8">
        <f>IF(J223="","",IF(SUMIFS('Facturas y gastos'!$D$10:$D$13,'Facturas y gastos'!$A$10:$A$13,A223)=0,"",J223*SUMIFS('Facturas y gastos'!$J$10:$J$13,'Facturas y gastos'!$A$10:$A$13,A223)/SUMIFS('Facturas y gastos'!$D$10:$D$13,'Facturas y gastos'!$A$10:$A$13,A223)))</f>
        <v>0</v>
      </c>
      <c r="O223" s="8">
        <f t="shared" si="6"/>
        <v>459.73864393019545</v>
      </c>
      <c r="P223" s="8" t="str">
        <f>IF(OR(O223="",'Facturas y gastos'!$B$24="",'Facturas y gastos'!$B$45&lt;&gt;"OK",SUM($O$8:$O$657)=0),"",O223*'Facturas y gastos'!$B$43/SUM($O$8:$O$657))</f>
        <v/>
      </c>
      <c r="Q223" s="8" t="str">
        <f>IF(OR(O223="",'Facturas y gastos'!$B$5="",P223=""),"",O223*'Facturas y gastos'!$B$5+P223)</f>
        <v/>
      </c>
      <c r="R223" s="8" t="str">
        <f t="shared" si="7"/>
        <v/>
      </c>
    </row>
    <row r="224" spans="1:18">
      <c r="A224" s="25" t="s">
        <v>60</v>
      </c>
      <c r="B224" s="25">
        <v>98</v>
      </c>
      <c r="C224" s="25" t="s">
        <v>368</v>
      </c>
      <c r="D224" s="25" t="s">
        <v>369</v>
      </c>
      <c r="E224" s="25" t="s">
        <v>108</v>
      </c>
      <c r="F224" s="27">
        <v>1800</v>
      </c>
      <c r="G224" s="27">
        <v>3</v>
      </c>
      <c r="H224" s="29">
        <v>0.26</v>
      </c>
      <c r="I224" s="29">
        <v>470.15</v>
      </c>
      <c r="J224" s="8">
        <f>IF(OR(A224="",I224=""),"",IF(SUMIFS($I$8:$I$657,$A$8:$A$657,A224)=0,"",I224*SUMIFS('Facturas y gastos'!$D$10:$D$13,'Facturas y gastos'!$A$10:$A$13,A224)/SUMIFS($I$8:$I$657,$A$8:$A$657,A224)))</f>
        <v>470.14903674589539</v>
      </c>
      <c r="K224" s="8">
        <f>IF(J224="","",IF(SUMIFS('Facturas y gastos'!$D$10:$D$13,'Facturas y gastos'!$A$10:$A$13,A224)=0,"",J224*SUMIFS('Facturas y gastos'!$G$10:$G$13,'Facturas y gastos'!$A$10:$A$13,A224)/SUMIFS('Facturas y gastos'!$D$10:$D$13,'Facturas y gastos'!$A$10:$A$13,A224)))</f>
        <v>4.7015228772849804</v>
      </c>
      <c r="L224" s="8">
        <f>IF(J224="","",IF(SUMIFS('Facturas y gastos'!$D$10:$D$13,'Facturas y gastos'!$A$10:$A$13,A224)=0,"",J224*SUMIFS('Facturas y gastos'!$H$10:$H$13,'Facturas y gastos'!$A$10:$A$13,A224)/SUMIFS('Facturas y gastos'!$D$10:$D$13,'Facturas y gastos'!$A$10:$A$13,A224)))</f>
        <v>14.104448225091881</v>
      </c>
      <c r="M224" s="8">
        <f>IF(J224="","",IF(SUMIFS('Facturas y gastos'!$D$10:$D$13,'Facturas y gastos'!$A$10:$A$13,A224)=0,"",J224*SUMIFS('Facturas y gastos'!$I$10:$I$13,'Facturas y gastos'!$A$10:$A$13,A224)/SUMIFS('Facturas y gastos'!$D$10:$D$13,'Facturas y gastos'!$A$10:$A$13,A224)))</f>
        <v>95.121342819042042</v>
      </c>
      <c r="N224" s="8">
        <f>IF(J224="","",IF(SUMIFS('Facturas y gastos'!$D$10:$D$13,'Facturas y gastos'!$A$10:$A$13,A224)=0,"",J224*SUMIFS('Facturas y gastos'!$J$10:$J$13,'Facturas y gastos'!$A$10:$A$13,A224)/SUMIFS('Facturas y gastos'!$D$10:$D$13,'Facturas y gastos'!$A$10:$A$13,A224)))</f>
        <v>0</v>
      </c>
      <c r="O224" s="8">
        <f t="shared" si="6"/>
        <v>574.67330491274436</v>
      </c>
      <c r="P224" s="8" t="str">
        <f>IF(OR(O224="",'Facturas y gastos'!$B$24="",'Facturas y gastos'!$B$45&lt;&gt;"OK",SUM($O$8:$O$657)=0),"",O224*'Facturas y gastos'!$B$43/SUM($O$8:$O$657))</f>
        <v/>
      </c>
      <c r="Q224" s="8" t="str">
        <f>IF(OR(O224="",'Facturas y gastos'!$B$5="",P224=""),"",O224*'Facturas y gastos'!$B$5+P224)</f>
        <v/>
      </c>
      <c r="R224" s="8" t="str">
        <f t="shared" si="7"/>
        <v/>
      </c>
    </row>
    <row r="225" spans="1:18">
      <c r="A225" s="25" t="s">
        <v>60</v>
      </c>
      <c r="B225" s="25">
        <v>99</v>
      </c>
      <c r="C225" s="25" t="s">
        <v>370</v>
      </c>
      <c r="D225" s="25" t="s">
        <v>371</v>
      </c>
      <c r="E225" s="25" t="s">
        <v>108</v>
      </c>
      <c r="F225" s="27">
        <v>1800</v>
      </c>
      <c r="G225" s="27">
        <v>3</v>
      </c>
      <c r="H225" s="29">
        <v>0.16</v>
      </c>
      <c r="I225" s="29">
        <v>295.52</v>
      </c>
      <c r="J225" s="8">
        <f>IF(OR(A225="",I225=""),"",IF(SUMIFS($I$8:$I$657,$A$8:$A$657,A225)=0,"",I225*SUMIFS('Facturas y gastos'!$D$10:$D$13,'Facturas y gastos'!$A$10:$A$13,A225)/SUMIFS($I$8:$I$657,$A$8:$A$657,A225)))</f>
        <v>295.51939453184519</v>
      </c>
      <c r="K225" s="8">
        <f>IF(J225="","",IF(SUMIFS('Facturas y gastos'!$D$10:$D$13,'Facturas y gastos'!$A$10:$A$13,A225)=0,"",J225*SUMIFS('Facturas y gastos'!$G$10:$G$13,'Facturas y gastos'!$A$10:$A$13,A225)/SUMIFS('Facturas y gastos'!$D$10:$D$13,'Facturas y gastos'!$A$10:$A$13,A225)))</f>
        <v>2.9552143798686754</v>
      </c>
      <c r="L225" s="8">
        <f>IF(J225="","",IF(SUMIFS('Facturas y gastos'!$D$10:$D$13,'Facturas y gastos'!$A$10:$A$13,A225)=0,"",J225*SUMIFS('Facturas y gastos'!$H$10:$H$13,'Facturas y gastos'!$A$10:$A$13,A225)/SUMIFS('Facturas y gastos'!$D$10:$D$13,'Facturas y gastos'!$A$10:$A$13,A225)))</f>
        <v>8.86556745608668</v>
      </c>
      <c r="M225" s="8">
        <f>IF(J225="","",IF(SUMIFS('Facturas y gastos'!$D$10:$D$13,'Facturas y gastos'!$A$10:$A$13,A225)=0,"",J225*SUMIFS('Facturas y gastos'!$I$10:$I$13,'Facturas y gastos'!$A$10:$A$13,A225)/SUMIFS('Facturas y gastos'!$D$10:$D$13,'Facturas y gastos'!$A$10:$A$13,A225)))</f>
        <v>59.789980282640236</v>
      </c>
      <c r="N225" s="8">
        <f>IF(J225="","",IF(SUMIFS('Facturas y gastos'!$D$10:$D$13,'Facturas y gastos'!$A$10:$A$13,A225)=0,"",J225*SUMIFS('Facturas y gastos'!$J$10:$J$13,'Facturas y gastos'!$A$10:$A$13,A225)/SUMIFS('Facturas y gastos'!$D$10:$D$13,'Facturas y gastos'!$A$10:$A$13,A225)))</f>
        <v>0</v>
      </c>
      <c r="O225" s="8">
        <f t="shared" si="6"/>
        <v>361.21972789070344</v>
      </c>
      <c r="P225" s="8" t="str">
        <f>IF(OR(O225="",'Facturas y gastos'!$B$24="",'Facturas y gastos'!$B$45&lt;&gt;"OK",SUM($O$8:$O$657)=0),"",O225*'Facturas y gastos'!$B$43/SUM($O$8:$O$657))</f>
        <v/>
      </c>
      <c r="Q225" s="8" t="str">
        <f>IF(OR(O225="",'Facturas y gastos'!$B$5="",P225=""),"",O225*'Facturas y gastos'!$B$5+P225)</f>
        <v/>
      </c>
      <c r="R225" s="8" t="str">
        <f t="shared" si="7"/>
        <v/>
      </c>
    </row>
    <row r="226" spans="1:18">
      <c r="A226" s="25" t="s">
        <v>60</v>
      </c>
      <c r="B226" s="25">
        <v>100</v>
      </c>
      <c r="C226" s="25" t="s">
        <v>372</v>
      </c>
      <c r="D226" s="25" t="s">
        <v>365</v>
      </c>
      <c r="E226" s="25" t="s">
        <v>108</v>
      </c>
      <c r="F226" s="27">
        <v>1800</v>
      </c>
      <c r="G226" s="27">
        <v>3</v>
      </c>
      <c r="H226" s="29">
        <v>0.21</v>
      </c>
      <c r="I226" s="29">
        <v>376.12</v>
      </c>
      <c r="J226" s="8">
        <f>IF(OR(A226="",I226=""),"",IF(SUMIFS($I$8:$I$657,$A$8:$A$657,A226)=0,"",I226*SUMIFS('Facturas y gastos'!$D$10:$D$13,'Facturas y gastos'!$A$10:$A$13,A226)/SUMIFS($I$8:$I$657,$A$8:$A$657,A226)))</f>
        <v>376.11922939671632</v>
      </c>
      <c r="K226" s="8">
        <f>IF(J226="","",IF(SUMIFS('Facturas y gastos'!$D$10:$D$13,'Facturas y gastos'!$A$10:$A$13,A226)=0,"",J226*SUMIFS('Facturas y gastos'!$G$10:$G$13,'Facturas y gastos'!$A$10:$A$13,A226)/SUMIFS('Facturas y gastos'!$D$10:$D$13,'Facturas y gastos'!$A$10:$A$13,A226)))</f>
        <v>3.7612183018279848</v>
      </c>
      <c r="L226" s="8">
        <f>IF(J226="","",IF(SUMIFS('Facturas y gastos'!$D$10:$D$13,'Facturas y gastos'!$A$10:$A$13,A226)=0,"",J226*SUMIFS('Facturas y gastos'!$H$10:$H$13,'Facturas y gastos'!$A$10:$A$13,A226)/SUMIFS('Facturas y gastos'!$D$10:$D$13,'Facturas y gastos'!$A$10:$A$13,A226)))</f>
        <v>11.283558580073503</v>
      </c>
      <c r="M226" s="8">
        <f>IF(J226="","",IF(SUMIFS('Facturas y gastos'!$D$10:$D$13,'Facturas y gastos'!$A$10:$A$13,A226)=0,"",J226*SUMIFS('Facturas y gastos'!$I$10:$I$13,'Facturas y gastos'!$A$10:$A$13,A226)/SUMIFS('Facturas y gastos'!$D$10:$D$13,'Facturas y gastos'!$A$10:$A$13,A226)))</f>
        <v>76.097074255233636</v>
      </c>
      <c r="N226" s="8">
        <f>IF(J226="","",IF(SUMIFS('Facturas y gastos'!$D$10:$D$13,'Facturas y gastos'!$A$10:$A$13,A226)=0,"",J226*SUMIFS('Facturas y gastos'!$J$10:$J$13,'Facturas y gastos'!$A$10:$A$13,A226)/SUMIFS('Facturas y gastos'!$D$10:$D$13,'Facturas y gastos'!$A$10:$A$13,A226)))</f>
        <v>0</v>
      </c>
      <c r="O226" s="8">
        <f t="shared" si="6"/>
        <v>459.73864393019545</v>
      </c>
      <c r="P226" s="8" t="str">
        <f>IF(OR(O226="",'Facturas y gastos'!$B$24="",'Facturas y gastos'!$B$45&lt;&gt;"OK",SUM($O$8:$O$657)=0),"",O226*'Facturas y gastos'!$B$43/SUM($O$8:$O$657))</f>
        <v/>
      </c>
      <c r="Q226" s="8" t="str">
        <f>IF(OR(O226="",'Facturas y gastos'!$B$5="",P226=""),"",O226*'Facturas y gastos'!$B$5+P226)</f>
        <v/>
      </c>
      <c r="R226" s="8" t="str">
        <f t="shared" si="7"/>
        <v/>
      </c>
    </row>
    <row r="227" spans="1:18">
      <c r="A227" s="25" t="s">
        <v>60</v>
      </c>
      <c r="B227" s="25">
        <v>101</v>
      </c>
      <c r="C227" s="25" t="s">
        <v>373</v>
      </c>
      <c r="D227" s="25" t="s">
        <v>367</v>
      </c>
      <c r="E227" s="25" t="s">
        <v>108</v>
      </c>
      <c r="F227" s="27">
        <v>1800</v>
      </c>
      <c r="G227" s="27">
        <v>3</v>
      </c>
      <c r="H227" s="29">
        <v>0.21</v>
      </c>
      <c r="I227" s="29">
        <v>376.12</v>
      </c>
      <c r="J227" s="8">
        <f>IF(OR(A227="",I227=""),"",IF(SUMIFS($I$8:$I$657,$A$8:$A$657,A227)=0,"",I227*SUMIFS('Facturas y gastos'!$D$10:$D$13,'Facturas y gastos'!$A$10:$A$13,A227)/SUMIFS($I$8:$I$657,$A$8:$A$657,A227)))</f>
        <v>376.11922939671632</v>
      </c>
      <c r="K227" s="8">
        <f>IF(J227="","",IF(SUMIFS('Facturas y gastos'!$D$10:$D$13,'Facturas y gastos'!$A$10:$A$13,A227)=0,"",J227*SUMIFS('Facturas y gastos'!$G$10:$G$13,'Facturas y gastos'!$A$10:$A$13,A227)/SUMIFS('Facturas y gastos'!$D$10:$D$13,'Facturas y gastos'!$A$10:$A$13,A227)))</f>
        <v>3.7612183018279848</v>
      </c>
      <c r="L227" s="8">
        <f>IF(J227="","",IF(SUMIFS('Facturas y gastos'!$D$10:$D$13,'Facturas y gastos'!$A$10:$A$13,A227)=0,"",J227*SUMIFS('Facturas y gastos'!$H$10:$H$13,'Facturas y gastos'!$A$10:$A$13,A227)/SUMIFS('Facturas y gastos'!$D$10:$D$13,'Facturas y gastos'!$A$10:$A$13,A227)))</f>
        <v>11.283558580073503</v>
      </c>
      <c r="M227" s="8">
        <f>IF(J227="","",IF(SUMIFS('Facturas y gastos'!$D$10:$D$13,'Facturas y gastos'!$A$10:$A$13,A227)=0,"",J227*SUMIFS('Facturas y gastos'!$I$10:$I$13,'Facturas y gastos'!$A$10:$A$13,A227)/SUMIFS('Facturas y gastos'!$D$10:$D$13,'Facturas y gastos'!$A$10:$A$13,A227)))</f>
        <v>76.097074255233636</v>
      </c>
      <c r="N227" s="8">
        <f>IF(J227="","",IF(SUMIFS('Facturas y gastos'!$D$10:$D$13,'Facturas y gastos'!$A$10:$A$13,A227)=0,"",J227*SUMIFS('Facturas y gastos'!$J$10:$J$13,'Facturas y gastos'!$A$10:$A$13,A227)/SUMIFS('Facturas y gastos'!$D$10:$D$13,'Facturas y gastos'!$A$10:$A$13,A227)))</f>
        <v>0</v>
      </c>
      <c r="O227" s="8">
        <f t="shared" si="6"/>
        <v>459.73864393019545</v>
      </c>
      <c r="P227" s="8" t="str">
        <f>IF(OR(O227="",'Facturas y gastos'!$B$24="",'Facturas y gastos'!$B$45&lt;&gt;"OK",SUM($O$8:$O$657)=0),"",O227*'Facturas y gastos'!$B$43/SUM($O$8:$O$657))</f>
        <v/>
      </c>
      <c r="Q227" s="8" t="str">
        <f>IF(OR(O227="",'Facturas y gastos'!$B$5="",P227=""),"",O227*'Facturas y gastos'!$B$5+P227)</f>
        <v/>
      </c>
      <c r="R227" s="8" t="str">
        <f t="shared" si="7"/>
        <v/>
      </c>
    </row>
    <row r="228" spans="1:18">
      <c r="A228" s="25" t="s">
        <v>60</v>
      </c>
      <c r="B228" s="25">
        <v>102</v>
      </c>
      <c r="C228" s="25" t="s">
        <v>374</v>
      </c>
      <c r="D228" s="25" t="s">
        <v>369</v>
      </c>
      <c r="E228" s="25" t="s">
        <v>108</v>
      </c>
      <c r="F228" s="27">
        <v>1800</v>
      </c>
      <c r="G228" s="27">
        <v>3</v>
      </c>
      <c r="H228" s="29">
        <v>0.26</v>
      </c>
      <c r="I228" s="29">
        <v>470.15</v>
      </c>
      <c r="J228" s="8">
        <f>IF(OR(A228="",I228=""),"",IF(SUMIFS($I$8:$I$657,$A$8:$A$657,A228)=0,"",I228*SUMIFS('Facturas y gastos'!$D$10:$D$13,'Facturas y gastos'!$A$10:$A$13,A228)/SUMIFS($I$8:$I$657,$A$8:$A$657,A228)))</f>
        <v>470.14903674589539</v>
      </c>
      <c r="K228" s="8">
        <f>IF(J228="","",IF(SUMIFS('Facturas y gastos'!$D$10:$D$13,'Facturas y gastos'!$A$10:$A$13,A228)=0,"",J228*SUMIFS('Facturas y gastos'!$G$10:$G$13,'Facturas y gastos'!$A$10:$A$13,A228)/SUMIFS('Facturas y gastos'!$D$10:$D$13,'Facturas y gastos'!$A$10:$A$13,A228)))</f>
        <v>4.7015228772849804</v>
      </c>
      <c r="L228" s="8">
        <f>IF(J228="","",IF(SUMIFS('Facturas y gastos'!$D$10:$D$13,'Facturas y gastos'!$A$10:$A$13,A228)=0,"",J228*SUMIFS('Facturas y gastos'!$H$10:$H$13,'Facturas y gastos'!$A$10:$A$13,A228)/SUMIFS('Facturas y gastos'!$D$10:$D$13,'Facturas y gastos'!$A$10:$A$13,A228)))</f>
        <v>14.104448225091881</v>
      </c>
      <c r="M228" s="8">
        <f>IF(J228="","",IF(SUMIFS('Facturas y gastos'!$D$10:$D$13,'Facturas y gastos'!$A$10:$A$13,A228)=0,"",J228*SUMIFS('Facturas y gastos'!$I$10:$I$13,'Facturas y gastos'!$A$10:$A$13,A228)/SUMIFS('Facturas y gastos'!$D$10:$D$13,'Facturas y gastos'!$A$10:$A$13,A228)))</f>
        <v>95.121342819042042</v>
      </c>
      <c r="N228" s="8">
        <f>IF(J228="","",IF(SUMIFS('Facturas y gastos'!$D$10:$D$13,'Facturas y gastos'!$A$10:$A$13,A228)=0,"",J228*SUMIFS('Facturas y gastos'!$J$10:$J$13,'Facturas y gastos'!$A$10:$A$13,A228)/SUMIFS('Facturas y gastos'!$D$10:$D$13,'Facturas y gastos'!$A$10:$A$13,A228)))</f>
        <v>0</v>
      </c>
      <c r="O228" s="8">
        <f t="shared" si="6"/>
        <v>574.67330491274436</v>
      </c>
      <c r="P228" s="8" t="str">
        <f>IF(OR(O228="",'Facturas y gastos'!$B$24="",'Facturas y gastos'!$B$45&lt;&gt;"OK",SUM($O$8:$O$657)=0),"",O228*'Facturas y gastos'!$B$43/SUM($O$8:$O$657))</f>
        <v/>
      </c>
      <c r="Q228" s="8" t="str">
        <f>IF(OR(O228="",'Facturas y gastos'!$B$5="",P228=""),"",O228*'Facturas y gastos'!$B$5+P228)</f>
        <v/>
      </c>
      <c r="R228" s="8" t="str">
        <f t="shared" si="7"/>
        <v/>
      </c>
    </row>
    <row r="229" spans="1:18">
      <c r="A229" s="25" t="s">
        <v>60</v>
      </c>
      <c r="B229" s="25">
        <v>103</v>
      </c>
      <c r="C229" s="25" t="s">
        <v>375</v>
      </c>
      <c r="D229" s="25" t="s">
        <v>365</v>
      </c>
      <c r="E229" s="25" t="s">
        <v>108</v>
      </c>
      <c r="F229" s="27">
        <v>1800</v>
      </c>
      <c r="G229" s="27">
        <v>3</v>
      </c>
      <c r="H229" s="29">
        <v>0.31</v>
      </c>
      <c r="I229" s="29">
        <v>550.75</v>
      </c>
      <c r="J229" s="8">
        <f>IF(OR(A229="",I229=""),"",IF(SUMIFS($I$8:$I$657,$A$8:$A$657,A229)=0,"",I229*SUMIFS('Facturas y gastos'!$D$10:$D$13,'Facturas y gastos'!$A$10:$A$13,A229)/SUMIFS($I$8:$I$657,$A$8:$A$657,A229)))</f>
        <v>550.74887161076663</v>
      </c>
      <c r="K229" s="8">
        <f>IF(J229="","",IF(SUMIFS('Facturas y gastos'!$D$10:$D$13,'Facturas y gastos'!$A$10:$A$13,A229)=0,"",J229*SUMIFS('Facturas y gastos'!$G$10:$G$13,'Facturas y gastos'!$A$10:$A$13,A229)/SUMIFS('Facturas y gastos'!$D$10:$D$13,'Facturas y gastos'!$A$10:$A$13,A229)))</f>
        <v>5.5075267992442916</v>
      </c>
      <c r="L229" s="8">
        <f>IF(J229="","",IF(SUMIFS('Facturas y gastos'!$D$10:$D$13,'Facturas y gastos'!$A$10:$A$13,A229)=0,"",J229*SUMIFS('Facturas y gastos'!$H$10:$H$13,'Facturas y gastos'!$A$10:$A$13,A229)/SUMIFS('Facturas y gastos'!$D$10:$D$13,'Facturas y gastos'!$A$10:$A$13,A229)))</f>
        <v>16.522439349078706</v>
      </c>
      <c r="M229" s="8">
        <f>IF(J229="","",IF(SUMIFS('Facturas y gastos'!$D$10:$D$13,'Facturas y gastos'!$A$10:$A$13,A229)=0,"",J229*SUMIFS('Facturas y gastos'!$I$10:$I$13,'Facturas y gastos'!$A$10:$A$13,A229)/SUMIFS('Facturas y gastos'!$D$10:$D$13,'Facturas y gastos'!$A$10:$A$13,A229)))</f>
        <v>111.42843679163545</v>
      </c>
      <c r="N229" s="8">
        <f>IF(J229="","",IF(SUMIFS('Facturas y gastos'!$D$10:$D$13,'Facturas y gastos'!$A$10:$A$13,A229)=0,"",J229*SUMIFS('Facturas y gastos'!$J$10:$J$13,'Facturas y gastos'!$A$10:$A$13,A229)/SUMIFS('Facturas y gastos'!$D$10:$D$13,'Facturas y gastos'!$A$10:$A$13,A229)))</f>
        <v>0</v>
      </c>
      <c r="O229" s="8">
        <f t="shared" si="6"/>
        <v>673.19222095223654</v>
      </c>
      <c r="P229" s="8" t="str">
        <f>IF(OR(O229="",'Facturas y gastos'!$B$24="",'Facturas y gastos'!$B$45&lt;&gt;"OK",SUM($O$8:$O$657)=0),"",O229*'Facturas y gastos'!$B$43/SUM($O$8:$O$657))</f>
        <v/>
      </c>
      <c r="Q229" s="8" t="str">
        <f>IF(OR(O229="",'Facturas y gastos'!$B$5="",P229=""),"",O229*'Facturas y gastos'!$B$5+P229)</f>
        <v/>
      </c>
      <c r="R229" s="8" t="str">
        <f t="shared" si="7"/>
        <v/>
      </c>
    </row>
    <row r="230" spans="1:18">
      <c r="A230" s="25" t="s">
        <v>60</v>
      </c>
      <c r="B230" s="25">
        <v>104</v>
      </c>
      <c r="C230" s="25" t="s">
        <v>376</v>
      </c>
      <c r="D230" s="25" t="s">
        <v>367</v>
      </c>
      <c r="E230" s="25" t="s">
        <v>108</v>
      </c>
      <c r="F230" s="27">
        <v>1800</v>
      </c>
      <c r="G230" s="27">
        <v>3</v>
      </c>
      <c r="H230" s="29">
        <v>0.31</v>
      </c>
      <c r="I230" s="29">
        <v>550.75</v>
      </c>
      <c r="J230" s="8">
        <f>IF(OR(A230="",I230=""),"",IF(SUMIFS($I$8:$I$657,$A$8:$A$657,A230)=0,"",I230*SUMIFS('Facturas y gastos'!$D$10:$D$13,'Facturas y gastos'!$A$10:$A$13,A230)/SUMIFS($I$8:$I$657,$A$8:$A$657,A230)))</f>
        <v>550.74887161076663</v>
      </c>
      <c r="K230" s="8">
        <f>IF(J230="","",IF(SUMIFS('Facturas y gastos'!$D$10:$D$13,'Facturas y gastos'!$A$10:$A$13,A230)=0,"",J230*SUMIFS('Facturas y gastos'!$G$10:$G$13,'Facturas y gastos'!$A$10:$A$13,A230)/SUMIFS('Facturas y gastos'!$D$10:$D$13,'Facturas y gastos'!$A$10:$A$13,A230)))</f>
        <v>5.5075267992442916</v>
      </c>
      <c r="L230" s="8">
        <f>IF(J230="","",IF(SUMIFS('Facturas y gastos'!$D$10:$D$13,'Facturas y gastos'!$A$10:$A$13,A230)=0,"",J230*SUMIFS('Facturas y gastos'!$H$10:$H$13,'Facturas y gastos'!$A$10:$A$13,A230)/SUMIFS('Facturas y gastos'!$D$10:$D$13,'Facturas y gastos'!$A$10:$A$13,A230)))</f>
        <v>16.522439349078706</v>
      </c>
      <c r="M230" s="8">
        <f>IF(J230="","",IF(SUMIFS('Facturas y gastos'!$D$10:$D$13,'Facturas y gastos'!$A$10:$A$13,A230)=0,"",J230*SUMIFS('Facturas y gastos'!$I$10:$I$13,'Facturas y gastos'!$A$10:$A$13,A230)/SUMIFS('Facturas y gastos'!$D$10:$D$13,'Facturas y gastos'!$A$10:$A$13,A230)))</f>
        <v>111.42843679163545</v>
      </c>
      <c r="N230" s="8">
        <f>IF(J230="","",IF(SUMIFS('Facturas y gastos'!$D$10:$D$13,'Facturas y gastos'!$A$10:$A$13,A230)=0,"",J230*SUMIFS('Facturas y gastos'!$J$10:$J$13,'Facturas y gastos'!$A$10:$A$13,A230)/SUMIFS('Facturas y gastos'!$D$10:$D$13,'Facturas y gastos'!$A$10:$A$13,A230)))</f>
        <v>0</v>
      </c>
      <c r="O230" s="8">
        <f t="shared" si="6"/>
        <v>673.19222095223654</v>
      </c>
      <c r="P230" s="8" t="str">
        <f>IF(OR(O230="",'Facturas y gastos'!$B$24="",'Facturas y gastos'!$B$45&lt;&gt;"OK",SUM($O$8:$O$657)=0),"",O230*'Facturas y gastos'!$B$43/SUM($O$8:$O$657))</f>
        <v/>
      </c>
      <c r="Q230" s="8" t="str">
        <f>IF(OR(O230="",'Facturas y gastos'!$B$5="",P230=""),"",O230*'Facturas y gastos'!$B$5+P230)</f>
        <v/>
      </c>
      <c r="R230" s="8" t="str">
        <f t="shared" si="7"/>
        <v/>
      </c>
    </row>
    <row r="231" spans="1:18">
      <c r="A231" s="25" t="s">
        <v>60</v>
      </c>
      <c r="B231" s="25">
        <v>105</v>
      </c>
      <c r="C231" s="25" t="s">
        <v>377</v>
      </c>
      <c r="D231" s="25" t="s">
        <v>369</v>
      </c>
      <c r="E231" s="25" t="s">
        <v>108</v>
      </c>
      <c r="F231" s="27">
        <v>1800</v>
      </c>
      <c r="G231" s="27">
        <v>3</v>
      </c>
      <c r="H231" s="29">
        <v>0.36</v>
      </c>
      <c r="I231" s="29">
        <v>644.78</v>
      </c>
      <c r="J231" s="8">
        <f>IF(OR(A231="",I231=""),"",IF(SUMIFS($I$8:$I$657,$A$8:$A$657,A231)=0,"",I231*SUMIFS('Facturas y gastos'!$D$10:$D$13,'Facturas y gastos'!$A$10:$A$13,A231)/SUMIFS($I$8:$I$657,$A$8:$A$657,A231)))</f>
        <v>644.77867895994564</v>
      </c>
      <c r="K231" s="8">
        <f>IF(J231="","",IF(SUMIFS('Facturas y gastos'!$D$10:$D$13,'Facturas y gastos'!$A$10:$A$13,A231)=0,"",J231*SUMIFS('Facturas y gastos'!$G$10:$G$13,'Facturas y gastos'!$A$10:$A$13,A231)/SUMIFS('Facturas y gastos'!$D$10:$D$13,'Facturas y gastos'!$A$10:$A$13,A231)))</f>
        <v>6.4478313747012868</v>
      </c>
      <c r="L231" s="8">
        <f>IF(J231="","",IF(SUMIFS('Facturas y gastos'!$D$10:$D$13,'Facturas y gastos'!$A$10:$A$13,A231)=0,"",J231*SUMIFS('Facturas y gastos'!$H$10:$H$13,'Facturas y gastos'!$A$10:$A$13,A231)/SUMIFS('Facturas y gastos'!$D$10:$D$13,'Facturas y gastos'!$A$10:$A$13,A231)))</f>
        <v>19.343328994097082</v>
      </c>
      <c r="M231" s="8">
        <f>IF(J231="","",IF(SUMIFS('Facturas y gastos'!$D$10:$D$13,'Facturas y gastos'!$A$10:$A$13,A231)=0,"",J231*SUMIFS('Facturas y gastos'!$I$10:$I$13,'Facturas y gastos'!$A$10:$A$13,A231)/SUMIFS('Facturas y gastos'!$D$10:$D$13,'Facturas y gastos'!$A$10:$A$13,A231)))</f>
        <v>130.45270535544384</v>
      </c>
      <c r="N231" s="8">
        <f>IF(J231="","",IF(SUMIFS('Facturas y gastos'!$D$10:$D$13,'Facturas y gastos'!$A$10:$A$13,A231)=0,"",J231*SUMIFS('Facturas y gastos'!$J$10:$J$13,'Facturas y gastos'!$A$10:$A$13,A231)/SUMIFS('Facturas y gastos'!$D$10:$D$13,'Facturas y gastos'!$A$10:$A$13,A231)))</f>
        <v>0</v>
      </c>
      <c r="O231" s="8">
        <f t="shared" si="6"/>
        <v>788.12688193478527</v>
      </c>
      <c r="P231" s="8" t="str">
        <f>IF(OR(O231="",'Facturas y gastos'!$B$24="",'Facturas y gastos'!$B$45&lt;&gt;"OK",SUM($O$8:$O$657)=0),"",O231*'Facturas y gastos'!$B$43/SUM($O$8:$O$657))</f>
        <v/>
      </c>
      <c r="Q231" s="8" t="str">
        <f>IF(OR(O231="",'Facturas y gastos'!$B$5="",P231=""),"",O231*'Facturas y gastos'!$B$5+P231)</f>
        <v/>
      </c>
      <c r="R231" s="8" t="str">
        <f t="shared" si="7"/>
        <v/>
      </c>
    </row>
    <row r="232" spans="1:18">
      <c r="A232" s="25" t="s">
        <v>60</v>
      </c>
      <c r="B232" s="25">
        <v>106</v>
      </c>
      <c r="C232" s="25" t="s">
        <v>378</v>
      </c>
      <c r="D232" s="25" t="s">
        <v>365</v>
      </c>
      <c r="E232" s="25" t="s">
        <v>108</v>
      </c>
      <c r="F232" s="27">
        <v>1800</v>
      </c>
      <c r="G232" s="27">
        <v>3</v>
      </c>
      <c r="H232" s="29">
        <v>0.31</v>
      </c>
      <c r="I232" s="29">
        <v>550.75</v>
      </c>
      <c r="J232" s="8">
        <f>IF(OR(A232="",I232=""),"",IF(SUMIFS($I$8:$I$657,$A$8:$A$657,A232)=0,"",I232*SUMIFS('Facturas y gastos'!$D$10:$D$13,'Facturas y gastos'!$A$10:$A$13,A232)/SUMIFS($I$8:$I$657,$A$8:$A$657,A232)))</f>
        <v>550.74887161076663</v>
      </c>
      <c r="K232" s="8">
        <f>IF(J232="","",IF(SUMIFS('Facturas y gastos'!$D$10:$D$13,'Facturas y gastos'!$A$10:$A$13,A232)=0,"",J232*SUMIFS('Facturas y gastos'!$G$10:$G$13,'Facturas y gastos'!$A$10:$A$13,A232)/SUMIFS('Facturas y gastos'!$D$10:$D$13,'Facturas y gastos'!$A$10:$A$13,A232)))</f>
        <v>5.5075267992442916</v>
      </c>
      <c r="L232" s="8">
        <f>IF(J232="","",IF(SUMIFS('Facturas y gastos'!$D$10:$D$13,'Facturas y gastos'!$A$10:$A$13,A232)=0,"",J232*SUMIFS('Facturas y gastos'!$H$10:$H$13,'Facturas y gastos'!$A$10:$A$13,A232)/SUMIFS('Facturas y gastos'!$D$10:$D$13,'Facturas y gastos'!$A$10:$A$13,A232)))</f>
        <v>16.522439349078706</v>
      </c>
      <c r="M232" s="8">
        <f>IF(J232="","",IF(SUMIFS('Facturas y gastos'!$D$10:$D$13,'Facturas y gastos'!$A$10:$A$13,A232)=0,"",J232*SUMIFS('Facturas y gastos'!$I$10:$I$13,'Facturas y gastos'!$A$10:$A$13,A232)/SUMIFS('Facturas y gastos'!$D$10:$D$13,'Facturas y gastos'!$A$10:$A$13,A232)))</f>
        <v>111.42843679163545</v>
      </c>
      <c r="N232" s="8">
        <f>IF(J232="","",IF(SUMIFS('Facturas y gastos'!$D$10:$D$13,'Facturas y gastos'!$A$10:$A$13,A232)=0,"",J232*SUMIFS('Facturas y gastos'!$J$10:$J$13,'Facturas y gastos'!$A$10:$A$13,A232)/SUMIFS('Facturas y gastos'!$D$10:$D$13,'Facturas y gastos'!$A$10:$A$13,A232)))</f>
        <v>0</v>
      </c>
      <c r="O232" s="8">
        <f t="shared" si="6"/>
        <v>673.19222095223654</v>
      </c>
      <c r="P232" s="8" t="str">
        <f>IF(OR(O232="",'Facturas y gastos'!$B$24="",'Facturas y gastos'!$B$45&lt;&gt;"OK",SUM($O$8:$O$657)=0),"",O232*'Facturas y gastos'!$B$43/SUM($O$8:$O$657))</f>
        <v/>
      </c>
      <c r="Q232" s="8" t="str">
        <f>IF(OR(O232="",'Facturas y gastos'!$B$5="",P232=""),"",O232*'Facturas y gastos'!$B$5+P232)</f>
        <v/>
      </c>
      <c r="R232" s="8" t="str">
        <f t="shared" si="7"/>
        <v/>
      </c>
    </row>
    <row r="233" spans="1:18">
      <c r="A233" s="25" t="s">
        <v>60</v>
      </c>
      <c r="B233" s="25">
        <v>107</v>
      </c>
      <c r="C233" s="25" t="s">
        <v>379</v>
      </c>
      <c r="D233" s="25" t="s">
        <v>367</v>
      </c>
      <c r="E233" s="25" t="s">
        <v>108</v>
      </c>
      <c r="F233" s="27">
        <v>1800</v>
      </c>
      <c r="G233" s="27">
        <v>3</v>
      </c>
      <c r="H233" s="29">
        <v>0.31</v>
      </c>
      <c r="I233" s="29">
        <v>550.75</v>
      </c>
      <c r="J233" s="8">
        <f>IF(OR(A233="",I233=""),"",IF(SUMIFS($I$8:$I$657,$A$8:$A$657,A233)=0,"",I233*SUMIFS('Facturas y gastos'!$D$10:$D$13,'Facturas y gastos'!$A$10:$A$13,A233)/SUMIFS($I$8:$I$657,$A$8:$A$657,A233)))</f>
        <v>550.74887161076663</v>
      </c>
      <c r="K233" s="8">
        <f>IF(J233="","",IF(SUMIFS('Facturas y gastos'!$D$10:$D$13,'Facturas y gastos'!$A$10:$A$13,A233)=0,"",J233*SUMIFS('Facturas y gastos'!$G$10:$G$13,'Facturas y gastos'!$A$10:$A$13,A233)/SUMIFS('Facturas y gastos'!$D$10:$D$13,'Facturas y gastos'!$A$10:$A$13,A233)))</f>
        <v>5.5075267992442916</v>
      </c>
      <c r="L233" s="8">
        <f>IF(J233="","",IF(SUMIFS('Facturas y gastos'!$D$10:$D$13,'Facturas y gastos'!$A$10:$A$13,A233)=0,"",J233*SUMIFS('Facturas y gastos'!$H$10:$H$13,'Facturas y gastos'!$A$10:$A$13,A233)/SUMIFS('Facturas y gastos'!$D$10:$D$13,'Facturas y gastos'!$A$10:$A$13,A233)))</f>
        <v>16.522439349078706</v>
      </c>
      <c r="M233" s="8">
        <f>IF(J233="","",IF(SUMIFS('Facturas y gastos'!$D$10:$D$13,'Facturas y gastos'!$A$10:$A$13,A233)=0,"",J233*SUMIFS('Facturas y gastos'!$I$10:$I$13,'Facturas y gastos'!$A$10:$A$13,A233)/SUMIFS('Facturas y gastos'!$D$10:$D$13,'Facturas y gastos'!$A$10:$A$13,A233)))</f>
        <v>111.42843679163545</v>
      </c>
      <c r="N233" s="8">
        <f>IF(J233="","",IF(SUMIFS('Facturas y gastos'!$D$10:$D$13,'Facturas y gastos'!$A$10:$A$13,A233)=0,"",J233*SUMIFS('Facturas y gastos'!$J$10:$J$13,'Facturas y gastos'!$A$10:$A$13,A233)/SUMIFS('Facturas y gastos'!$D$10:$D$13,'Facturas y gastos'!$A$10:$A$13,A233)))</f>
        <v>0</v>
      </c>
      <c r="O233" s="8">
        <f t="shared" si="6"/>
        <v>673.19222095223654</v>
      </c>
      <c r="P233" s="8" t="str">
        <f>IF(OR(O233="",'Facturas y gastos'!$B$24="",'Facturas y gastos'!$B$45&lt;&gt;"OK",SUM($O$8:$O$657)=0),"",O233*'Facturas y gastos'!$B$43/SUM($O$8:$O$657))</f>
        <v/>
      </c>
      <c r="Q233" s="8" t="str">
        <f>IF(OR(O233="",'Facturas y gastos'!$B$5="",P233=""),"",O233*'Facturas y gastos'!$B$5+P233)</f>
        <v/>
      </c>
      <c r="R233" s="8" t="str">
        <f t="shared" si="7"/>
        <v/>
      </c>
    </row>
    <row r="234" spans="1:18">
      <c r="A234" s="25" t="s">
        <v>60</v>
      </c>
      <c r="B234" s="25">
        <v>108</v>
      </c>
      <c r="C234" s="25" t="s">
        <v>380</v>
      </c>
      <c r="D234" s="25" t="s">
        <v>369</v>
      </c>
      <c r="E234" s="25" t="s">
        <v>108</v>
      </c>
      <c r="F234" s="27">
        <v>1800</v>
      </c>
      <c r="G234" s="27">
        <v>3</v>
      </c>
      <c r="H234" s="29">
        <v>0.36</v>
      </c>
      <c r="I234" s="29">
        <v>644.78</v>
      </c>
      <c r="J234" s="8">
        <f>IF(OR(A234="",I234=""),"",IF(SUMIFS($I$8:$I$657,$A$8:$A$657,A234)=0,"",I234*SUMIFS('Facturas y gastos'!$D$10:$D$13,'Facturas y gastos'!$A$10:$A$13,A234)/SUMIFS($I$8:$I$657,$A$8:$A$657,A234)))</f>
        <v>644.77867895994564</v>
      </c>
      <c r="K234" s="8">
        <f>IF(J234="","",IF(SUMIFS('Facturas y gastos'!$D$10:$D$13,'Facturas y gastos'!$A$10:$A$13,A234)=0,"",J234*SUMIFS('Facturas y gastos'!$G$10:$G$13,'Facturas y gastos'!$A$10:$A$13,A234)/SUMIFS('Facturas y gastos'!$D$10:$D$13,'Facturas y gastos'!$A$10:$A$13,A234)))</f>
        <v>6.4478313747012868</v>
      </c>
      <c r="L234" s="8">
        <f>IF(J234="","",IF(SUMIFS('Facturas y gastos'!$D$10:$D$13,'Facturas y gastos'!$A$10:$A$13,A234)=0,"",J234*SUMIFS('Facturas y gastos'!$H$10:$H$13,'Facturas y gastos'!$A$10:$A$13,A234)/SUMIFS('Facturas y gastos'!$D$10:$D$13,'Facturas y gastos'!$A$10:$A$13,A234)))</f>
        <v>19.343328994097082</v>
      </c>
      <c r="M234" s="8">
        <f>IF(J234="","",IF(SUMIFS('Facturas y gastos'!$D$10:$D$13,'Facturas y gastos'!$A$10:$A$13,A234)=0,"",J234*SUMIFS('Facturas y gastos'!$I$10:$I$13,'Facturas y gastos'!$A$10:$A$13,A234)/SUMIFS('Facturas y gastos'!$D$10:$D$13,'Facturas y gastos'!$A$10:$A$13,A234)))</f>
        <v>130.45270535544384</v>
      </c>
      <c r="N234" s="8">
        <f>IF(J234="","",IF(SUMIFS('Facturas y gastos'!$D$10:$D$13,'Facturas y gastos'!$A$10:$A$13,A234)=0,"",J234*SUMIFS('Facturas y gastos'!$J$10:$J$13,'Facturas y gastos'!$A$10:$A$13,A234)/SUMIFS('Facturas y gastos'!$D$10:$D$13,'Facturas y gastos'!$A$10:$A$13,A234)))</f>
        <v>0</v>
      </c>
      <c r="O234" s="8">
        <f t="shared" si="6"/>
        <v>788.12688193478527</v>
      </c>
      <c r="P234" s="8" t="str">
        <f>IF(OR(O234="",'Facturas y gastos'!$B$24="",'Facturas y gastos'!$B$45&lt;&gt;"OK",SUM($O$8:$O$657)=0),"",O234*'Facturas y gastos'!$B$43/SUM($O$8:$O$657))</f>
        <v/>
      </c>
      <c r="Q234" s="8" t="str">
        <f>IF(OR(O234="",'Facturas y gastos'!$B$5="",P234=""),"",O234*'Facturas y gastos'!$B$5+P234)</f>
        <v/>
      </c>
      <c r="R234" s="8" t="str">
        <f t="shared" si="7"/>
        <v/>
      </c>
    </row>
    <row r="235" spans="1:18">
      <c r="A235" s="25" t="s">
        <v>60</v>
      </c>
      <c r="B235" s="25">
        <v>109</v>
      </c>
      <c r="C235" s="25" t="s">
        <v>381</v>
      </c>
      <c r="D235" s="25" t="s">
        <v>371</v>
      </c>
      <c r="E235" s="25" t="s">
        <v>108</v>
      </c>
      <c r="F235" s="27">
        <v>1800</v>
      </c>
      <c r="G235" s="27">
        <v>3</v>
      </c>
      <c r="H235" s="29">
        <v>0.26</v>
      </c>
      <c r="I235" s="29">
        <v>470.15</v>
      </c>
      <c r="J235" s="8">
        <f>IF(OR(A235="",I235=""),"",IF(SUMIFS($I$8:$I$657,$A$8:$A$657,A235)=0,"",I235*SUMIFS('Facturas y gastos'!$D$10:$D$13,'Facturas y gastos'!$A$10:$A$13,A235)/SUMIFS($I$8:$I$657,$A$8:$A$657,A235)))</f>
        <v>470.14903674589539</v>
      </c>
      <c r="K235" s="8">
        <f>IF(J235="","",IF(SUMIFS('Facturas y gastos'!$D$10:$D$13,'Facturas y gastos'!$A$10:$A$13,A235)=0,"",J235*SUMIFS('Facturas y gastos'!$G$10:$G$13,'Facturas y gastos'!$A$10:$A$13,A235)/SUMIFS('Facturas y gastos'!$D$10:$D$13,'Facturas y gastos'!$A$10:$A$13,A235)))</f>
        <v>4.7015228772849804</v>
      </c>
      <c r="L235" s="8">
        <f>IF(J235="","",IF(SUMIFS('Facturas y gastos'!$D$10:$D$13,'Facturas y gastos'!$A$10:$A$13,A235)=0,"",J235*SUMIFS('Facturas y gastos'!$H$10:$H$13,'Facturas y gastos'!$A$10:$A$13,A235)/SUMIFS('Facturas y gastos'!$D$10:$D$13,'Facturas y gastos'!$A$10:$A$13,A235)))</f>
        <v>14.104448225091881</v>
      </c>
      <c r="M235" s="8">
        <f>IF(J235="","",IF(SUMIFS('Facturas y gastos'!$D$10:$D$13,'Facturas y gastos'!$A$10:$A$13,A235)=0,"",J235*SUMIFS('Facturas y gastos'!$I$10:$I$13,'Facturas y gastos'!$A$10:$A$13,A235)/SUMIFS('Facturas y gastos'!$D$10:$D$13,'Facturas y gastos'!$A$10:$A$13,A235)))</f>
        <v>95.121342819042042</v>
      </c>
      <c r="N235" s="8">
        <f>IF(J235="","",IF(SUMIFS('Facturas y gastos'!$D$10:$D$13,'Facturas y gastos'!$A$10:$A$13,A235)=0,"",J235*SUMIFS('Facturas y gastos'!$J$10:$J$13,'Facturas y gastos'!$A$10:$A$13,A235)/SUMIFS('Facturas y gastos'!$D$10:$D$13,'Facturas y gastos'!$A$10:$A$13,A235)))</f>
        <v>0</v>
      </c>
      <c r="O235" s="8">
        <f t="shared" si="6"/>
        <v>574.67330491274436</v>
      </c>
      <c r="P235" s="8" t="str">
        <f>IF(OR(O235="",'Facturas y gastos'!$B$24="",'Facturas y gastos'!$B$45&lt;&gt;"OK",SUM($O$8:$O$657)=0),"",O235*'Facturas y gastos'!$B$43/SUM($O$8:$O$657))</f>
        <v/>
      </c>
      <c r="Q235" s="8" t="str">
        <f>IF(OR(O235="",'Facturas y gastos'!$B$5="",P235=""),"",O235*'Facturas y gastos'!$B$5+P235)</f>
        <v/>
      </c>
      <c r="R235" s="8" t="str">
        <f t="shared" si="7"/>
        <v/>
      </c>
    </row>
    <row r="236" spans="1:18">
      <c r="A236" s="25" t="s">
        <v>60</v>
      </c>
      <c r="B236" s="25">
        <v>110</v>
      </c>
      <c r="C236" s="25" t="s">
        <v>382</v>
      </c>
      <c r="D236" s="25" t="s">
        <v>365</v>
      </c>
      <c r="E236" s="25" t="s">
        <v>108</v>
      </c>
      <c r="F236" s="27">
        <v>1800</v>
      </c>
      <c r="G236" s="27">
        <v>3</v>
      </c>
      <c r="H236" s="29">
        <v>7.0000000000000007E-2</v>
      </c>
      <c r="I236" s="29">
        <v>134.33000000000001</v>
      </c>
      <c r="J236" s="8">
        <f>IF(OR(A236="",I236=""),"",IF(SUMIFS($I$8:$I$657,$A$8:$A$657,A236)=0,"",I236*SUMIFS('Facturas y gastos'!$D$10:$D$13,'Facturas y gastos'!$A$10:$A$13,A236)/SUMIFS($I$8:$I$657,$A$8:$A$657,A236)))</f>
        <v>134.32972478161466</v>
      </c>
      <c r="K236" s="8">
        <f>IF(J236="","",IF(SUMIFS('Facturas y gastos'!$D$10:$D$13,'Facturas y gastos'!$A$10:$A$13,A236)=0,"",J236*SUMIFS('Facturas y gastos'!$G$10:$G$13,'Facturas y gastos'!$A$10:$A$13,A236)/SUMIFS('Facturas y gastos'!$D$10:$D$13,'Facturas y gastos'!$A$10:$A$13,A236)))</f>
        <v>1.343306536436651</v>
      </c>
      <c r="L236" s="8">
        <f>IF(J236="","",IF(SUMIFS('Facturas y gastos'!$D$10:$D$13,'Facturas y gastos'!$A$10:$A$13,A236)=0,"",J236*SUMIFS('Facturas y gastos'!$H$10:$H$13,'Facturas y gastos'!$A$10:$A$13,A236)/SUMIFS('Facturas y gastos'!$D$10:$D$13,'Facturas y gastos'!$A$10:$A$13,A236)))</f>
        <v>4.0298852070117883</v>
      </c>
      <c r="M236" s="8">
        <f>IF(J236="","",IF(SUMIFS('Facturas y gastos'!$D$10:$D$13,'Facturas y gastos'!$A$10:$A$13,A236)=0,"",J236*SUMIFS('Facturas y gastos'!$I$10:$I$13,'Facturas y gastos'!$A$10:$A$13,A236)/SUMIFS('Facturas y gastos'!$D$10:$D$13,'Facturas y gastos'!$A$10:$A$13,A236)))</f>
        <v>27.177815550105109</v>
      </c>
      <c r="N236" s="8">
        <f>IF(J236="","",IF(SUMIFS('Facturas y gastos'!$D$10:$D$13,'Facturas y gastos'!$A$10:$A$13,A236)=0,"",J236*SUMIFS('Facturas y gastos'!$J$10:$J$13,'Facturas y gastos'!$A$10:$A$13,A236)/SUMIFS('Facturas y gastos'!$D$10:$D$13,'Facturas y gastos'!$A$10:$A$13,A236)))</f>
        <v>0</v>
      </c>
      <c r="O236" s="8">
        <f t="shared" si="6"/>
        <v>164.19411900229494</v>
      </c>
      <c r="P236" s="8" t="str">
        <f>IF(OR(O236="",'Facturas y gastos'!$B$24="",'Facturas y gastos'!$B$45&lt;&gt;"OK",SUM($O$8:$O$657)=0),"",O236*'Facturas y gastos'!$B$43/SUM($O$8:$O$657))</f>
        <v/>
      </c>
      <c r="Q236" s="8" t="str">
        <f>IF(OR(O236="",'Facturas y gastos'!$B$5="",P236=""),"",O236*'Facturas y gastos'!$B$5+P236)</f>
        <v/>
      </c>
      <c r="R236" s="8" t="str">
        <f t="shared" si="7"/>
        <v/>
      </c>
    </row>
    <row r="237" spans="1:18">
      <c r="A237" s="25" t="s">
        <v>60</v>
      </c>
      <c r="B237" s="25">
        <v>111</v>
      </c>
      <c r="C237" s="25" t="s">
        <v>383</v>
      </c>
      <c r="D237" s="25" t="s">
        <v>367</v>
      </c>
      <c r="E237" s="25" t="s">
        <v>108</v>
      </c>
      <c r="F237" s="27">
        <v>1800</v>
      </c>
      <c r="G237" s="27">
        <v>3</v>
      </c>
      <c r="H237" s="29">
        <v>7.0000000000000007E-2</v>
      </c>
      <c r="I237" s="29">
        <v>134.33000000000001</v>
      </c>
      <c r="J237" s="8">
        <f>IF(OR(A237="",I237=""),"",IF(SUMIFS($I$8:$I$657,$A$8:$A$657,A237)=0,"",I237*SUMIFS('Facturas y gastos'!$D$10:$D$13,'Facturas y gastos'!$A$10:$A$13,A237)/SUMIFS($I$8:$I$657,$A$8:$A$657,A237)))</f>
        <v>134.32972478161466</v>
      </c>
      <c r="K237" s="8">
        <f>IF(J237="","",IF(SUMIFS('Facturas y gastos'!$D$10:$D$13,'Facturas y gastos'!$A$10:$A$13,A237)=0,"",J237*SUMIFS('Facturas y gastos'!$G$10:$G$13,'Facturas y gastos'!$A$10:$A$13,A237)/SUMIFS('Facturas y gastos'!$D$10:$D$13,'Facturas y gastos'!$A$10:$A$13,A237)))</f>
        <v>1.343306536436651</v>
      </c>
      <c r="L237" s="8">
        <f>IF(J237="","",IF(SUMIFS('Facturas y gastos'!$D$10:$D$13,'Facturas y gastos'!$A$10:$A$13,A237)=0,"",J237*SUMIFS('Facturas y gastos'!$H$10:$H$13,'Facturas y gastos'!$A$10:$A$13,A237)/SUMIFS('Facturas y gastos'!$D$10:$D$13,'Facturas y gastos'!$A$10:$A$13,A237)))</f>
        <v>4.0298852070117883</v>
      </c>
      <c r="M237" s="8">
        <f>IF(J237="","",IF(SUMIFS('Facturas y gastos'!$D$10:$D$13,'Facturas y gastos'!$A$10:$A$13,A237)=0,"",J237*SUMIFS('Facturas y gastos'!$I$10:$I$13,'Facturas y gastos'!$A$10:$A$13,A237)/SUMIFS('Facturas y gastos'!$D$10:$D$13,'Facturas y gastos'!$A$10:$A$13,A237)))</f>
        <v>27.177815550105109</v>
      </c>
      <c r="N237" s="8">
        <f>IF(J237="","",IF(SUMIFS('Facturas y gastos'!$D$10:$D$13,'Facturas y gastos'!$A$10:$A$13,A237)=0,"",J237*SUMIFS('Facturas y gastos'!$J$10:$J$13,'Facturas y gastos'!$A$10:$A$13,A237)/SUMIFS('Facturas y gastos'!$D$10:$D$13,'Facturas y gastos'!$A$10:$A$13,A237)))</f>
        <v>0</v>
      </c>
      <c r="O237" s="8">
        <f t="shared" si="6"/>
        <v>164.19411900229494</v>
      </c>
      <c r="P237" s="8" t="str">
        <f>IF(OR(O237="",'Facturas y gastos'!$B$24="",'Facturas y gastos'!$B$45&lt;&gt;"OK",SUM($O$8:$O$657)=0),"",O237*'Facturas y gastos'!$B$43/SUM($O$8:$O$657))</f>
        <v/>
      </c>
      <c r="Q237" s="8" t="str">
        <f>IF(OR(O237="",'Facturas y gastos'!$B$5="",P237=""),"",O237*'Facturas y gastos'!$B$5+P237)</f>
        <v/>
      </c>
      <c r="R237" s="8" t="str">
        <f t="shared" si="7"/>
        <v/>
      </c>
    </row>
    <row r="238" spans="1:18">
      <c r="A238" s="25" t="s">
        <v>60</v>
      </c>
      <c r="B238" s="25">
        <v>112</v>
      </c>
      <c r="C238" s="25" t="s">
        <v>384</v>
      </c>
      <c r="D238" s="25" t="s">
        <v>365</v>
      </c>
      <c r="E238" s="25" t="s">
        <v>108</v>
      </c>
      <c r="F238" s="27">
        <v>1800</v>
      </c>
      <c r="G238" s="27">
        <v>3</v>
      </c>
      <c r="H238" s="29">
        <v>7.0000000000000007E-2</v>
      </c>
      <c r="I238" s="29">
        <v>134.33000000000001</v>
      </c>
      <c r="J238" s="8">
        <f>IF(OR(A238="",I238=""),"",IF(SUMIFS($I$8:$I$657,$A$8:$A$657,A238)=0,"",I238*SUMIFS('Facturas y gastos'!$D$10:$D$13,'Facturas y gastos'!$A$10:$A$13,A238)/SUMIFS($I$8:$I$657,$A$8:$A$657,A238)))</f>
        <v>134.32972478161466</v>
      </c>
      <c r="K238" s="8">
        <f>IF(J238="","",IF(SUMIFS('Facturas y gastos'!$D$10:$D$13,'Facturas y gastos'!$A$10:$A$13,A238)=0,"",J238*SUMIFS('Facturas y gastos'!$G$10:$G$13,'Facturas y gastos'!$A$10:$A$13,A238)/SUMIFS('Facturas y gastos'!$D$10:$D$13,'Facturas y gastos'!$A$10:$A$13,A238)))</f>
        <v>1.343306536436651</v>
      </c>
      <c r="L238" s="8">
        <f>IF(J238="","",IF(SUMIFS('Facturas y gastos'!$D$10:$D$13,'Facturas y gastos'!$A$10:$A$13,A238)=0,"",J238*SUMIFS('Facturas y gastos'!$H$10:$H$13,'Facturas y gastos'!$A$10:$A$13,A238)/SUMIFS('Facturas y gastos'!$D$10:$D$13,'Facturas y gastos'!$A$10:$A$13,A238)))</f>
        <v>4.0298852070117883</v>
      </c>
      <c r="M238" s="8">
        <f>IF(J238="","",IF(SUMIFS('Facturas y gastos'!$D$10:$D$13,'Facturas y gastos'!$A$10:$A$13,A238)=0,"",J238*SUMIFS('Facturas y gastos'!$I$10:$I$13,'Facturas y gastos'!$A$10:$A$13,A238)/SUMIFS('Facturas y gastos'!$D$10:$D$13,'Facturas y gastos'!$A$10:$A$13,A238)))</f>
        <v>27.177815550105109</v>
      </c>
      <c r="N238" s="8">
        <f>IF(J238="","",IF(SUMIFS('Facturas y gastos'!$D$10:$D$13,'Facturas y gastos'!$A$10:$A$13,A238)=0,"",J238*SUMIFS('Facturas y gastos'!$J$10:$J$13,'Facturas y gastos'!$A$10:$A$13,A238)/SUMIFS('Facturas y gastos'!$D$10:$D$13,'Facturas y gastos'!$A$10:$A$13,A238)))</f>
        <v>0</v>
      </c>
      <c r="O238" s="8">
        <f t="shared" si="6"/>
        <v>164.19411900229494</v>
      </c>
      <c r="P238" s="8" t="str">
        <f>IF(OR(O238="",'Facturas y gastos'!$B$24="",'Facturas y gastos'!$B$45&lt;&gt;"OK",SUM($O$8:$O$657)=0),"",O238*'Facturas y gastos'!$B$43/SUM($O$8:$O$657))</f>
        <v/>
      </c>
      <c r="Q238" s="8" t="str">
        <f>IF(OR(O238="",'Facturas y gastos'!$B$5="",P238=""),"",O238*'Facturas y gastos'!$B$5+P238)</f>
        <v/>
      </c>
      <c r="R238" s="8" t="str">
        <f t="shared" si="7"/>
        <v/>
      </c>
    </row>
    <row r="239" spans="1:18">
      <c r="A239" s="25" t="s">
        <v>60</v>
      </c>
      <c r="B239" s="25">
        <v>113</v>
      </c>
      <c r="C239" s="25" t="s">
        <v>385</v>
      </c>
      <c r="D239" s="25" t="s">
        <v>367</v>
      </c>
      <c r="E239" s="25" t="s">
        <v>108</v>
      </c>
      <c r="F239" s="27">
        <v>1800</v>
      </c>
      <c r="G239" s="27">
        <v>3</v>
      </c>
      <c r="H239" s="29">
        <v>7.0000000000000007E-2</v>
      </c>
      <c r="I239" s="29">
        <v>134.33000000000001</v>
      </c>
      <c r="J239" s="8">
        <f>IF(OR(A239="",I239=""),"",IF(SUMIFS($I$8:$I$657,$A$8:$A$657,A239)=0,"",I239*SUMIFS('Facturas y gastos'!$D$10:$D$13,'Facturas y gastos'!$A$10:$A$13,A239)/SUMIFS($I$8:$I$657,$A$8:$A$657,A239)))</f>
        <v>134.32972478161466</v>
      </c>
      <c r="K239" s="8">
        <f>IF(J239="","",IF(SUMIFS('Facturas y gastos'!$D$10:$D$13,'Facturas y gastos'!$A$10:$A$13,A239)=0,"",J239*SUMIFS('Facturas y gastos'!$G$10:$G$13,'Facturas y gastos'!$A$10:$A$13,A239)/SUMIFS('Facturas y gastos'!$D$10:$D$13,'Facturas y gastos'!$A$10:$A$13,A239)))</f>
        <v>1.343306536436651</v>
      </c>
      <c r="L239" s="8">
        <f>IF(J239="","",IF(SUMIFS('Facturas y gastos'!$D$10:$D$13,'Facturas y gastos'!$A$10:$A$13,A239)=0,"",J239*SUMIFS('Facturas y gastos'!$H$10:$H$13,'Facturas y gastos'!$A$10:$A$13,A239)/SUMIFS('Facturas y gastos'!$D$10:$D$13,'Facturas y gastos'!$A$10:$A$13,A239)))</f>
        <v>4.0298852070117883</v>
      </c>
      <c r="M239" s="8">
        <f>IF(J239="","",IF(SUMIFS('Facturas y gastos'!$D$10:$D$13,'Facturas y gastos'!$A$10:$A$13,A239)=0,"",J239*SUMIFS('Facturas y gastos'!$I$10:$I$13,'Facturas y gastos'!$A$10:$A$13,A239)/SUMIFS('Facturas y gastos'!$D$10:$D$13,'Facturas y gastos'!$A$10:$A$13,A239)))</f>
        <v>27.177815550105109</v>
      </c>
      <c r="N239" s="8">
        <f>IF(J239="","",IF(SUMIFS('Facturas y gastos'!$D$10:$D$13,'Facturas y gastos'!$A$10:$A$13,A239)=0,"",J239*SUMIFS('Facturas y gastos'!$J$10:$J$13,'Facturas y gastos'!$A$10:$A$13,A239)/SUMIFS('Facturas y gastos'!$D$10:$D$13,'Facturas y gastos'!$A$10:$A$13,A239)))</f>
        <v>0</v>
      </c>
      <c r="O239" s="8">
        <f t="shared" si="6"/>
        <v>164.19411900229494</v>
      </c>
      <c r="P239" s="8" t="str">
        <f>IF(OR(O239="",'Facturas y gastos'!$B$24="",'Facturas y gastos'!$B$45&lt;&gt;"OK",SUM($O$8:$O$657)=0),"",O239*'Facturas y gastos'!$B$43/SUM($O$8:$O$657))</f>
        <v/>
      </c>
      <c r="Q239" s="8" t="str">
        <f>IF(OR(O239="",'Facturas y gastos'!$B$5="",P239=""),"",O239*'Facturas y gastos'!$B$5+P239)</f>
        <v/>
      </c>
      <c r="R239" s="8" t="str">
        <f t="shared" si="7"/>
        <v/>
      </c>
    </row>
    <row r="240" spans="1:18">
      <c r="A240" s="25" t="s">
        <v>60</v>
      </c>
      <c r="B240" s="25">
        <v>114</v>
      </c>
      <c r="C240" s="25" t="s">
        <v>386</v>
      </c>
      <c r="D240" s="25" t="s">
        <v>171</v>
      </c>
      <c r="E240" s="25" t="s">
        <v>172</v>
      </c>
      <c r="F240" s="27">
        <v>108</v>
      </c>
      <c r="G240" s="27">
        <v>3</v>
      </c>
      <c r="H240" s="29">
        <v>1.87</v>
      </c>
      <c r="I240" s="29">
        <v>201.49</v>
      </c>
      <c r="J240" s="8">
        <f>IF(OR(A240="",I240=""),"",IF(SUMIFS($I$8:$I$657,$A$8:$A$657,A240)=0,"",I240*SUMIFS('Facturas y gastos'!$D$10:$D$13,'Facturas y gastos'!$A$10:$A$13,A240)/SUMIFS($I$8:$I$657,$A$8:$A$657,A240)))</f>
        <v>201.4895871826661</v>
      </c>
      <c r="K240" s="8">
        <f>IF(J240="","",IF(SUMIFS('Facturas y gastos'!$D$10:$D$13,'Facturas y gastos'!$A$10:$A$13,A240)=0,"",J240*SUMIFS('Facturas y gastos'!$G$10:$G$13,'Facturas y gastos'!$A$10:$A$13,A240)/SUMIFS('Facturas y gastos'!$D$10:$D$13,'Facturas y gastos'!$A$10:$A$13,A240)))</f>
        <v>2.0149098044116789</v>
      </c>
      <c r="L240" s="8">
        <f>IF(J240="","",IF(SUMIFS('Facturas y gastos'!$D$10:$D$13,'Facturas y gastos'!$A$10:$A$13,A240)=0,"",J240*SUMIFS('Facturas y gastos'!$H$10:$H$13,'Facturas y gastos'!$A$10:$A$13,A240)/SUMIFS('Facturas y gastos'!$D$10:$D$13,'Facturas y gastos'!$A$10:$A$13,A240)))</f>
        <v>6.0446778110683042</v>
      </c>
      <c r="M240" s="8">
        <f>IF(J240="","",IF(SUMIFS('Facturas y gastos'!$D$10:$D$13,'Facturas y gastos'!$A$10:$A$13,A240)=0,"",J240*SUMIFS('Facturas y gastos'!$I$10:$I$13,'Facturas y gastos'!$A$10:$A$13,A240)/SUMIFS('Facturas y gastos'!$D$10:$D$13,'Facturas y gastos'!$A$10:$A$13,A240)))</f>
        <v>40.765711718831817</v>
      </c>
      <c r="N240" s="8">
        <f>IF(J240="","",IF(SUMIFS('Facturas y gastos'!$D$10:$D$13,'Facturas y gastos'!$A$10:$A$13,A240)=0,"",J240*SUMIFS('Facturas y gastos'!$J$10:$J$13,'Facturas y gastos'!$A$10:$A$13,A240)/SUMIFS('Facturas y gastos'!$D$10:$D$13,'Facturas y gastos'!$A$10:$A$13,A240)))</f>
        <v>0</v>
      </c>
      <c r="O240" s="8">
        <f t="shared" si="6"/>
        <v>246.28506690815456</v>
      </c>
      <c r="P240" s="8" t="str">
        <f>IF(OR(O240="",'Facturas y gastos'!$B$24="",'Facturas y gastos'!$B$45&lt;&gt;"OK",SUM($O$8:$O$657)=0),"",O240*'Facturas y gastos'!$B$43/SUM($O$8:$O$657))</f>
        <v/>
      </c>
      <c r="Q240" s="8" t="str">
        <f>IF(OR(O240="",'Facturas y gastos'!$B$5="",P240=""),"",O240*'Facturas y gastos'!$B$5+P240)</f>
        <v/>
      </c>
      <c r="R240" s="8" t="str">
        <f t="shared" si="7"/>
        <v/>
      </c>
    </row>
    <row r="241" spans="1:18">
      <c r="A241" s="25" t="s">
        <v>60</v>
      </c>
      <c r="B241" s="25">
        <v>115</v>
      </c>
      <c r="C241" s="25" t="s">
        <v>173</v>
      </c>
      <c r="D241" s="25" t="s">
        <v>171</v>
      </c>
      <c r="E241" s="25" t="s">
        <v>172</v>
      </c>
      <c r="F241" s="27">
        <v>48</v>
      </c>
      <c r="G241" s="27">
        <v>1</v>
      </c>
      <c r="H241" s="29">
        <v>1.37</v>
      </c>
      <c r="I241" s="29">
        <v>65.91</v>
      </c>
      <c r="J241" s="8">
        <f>IF(OR(A241="",I241=""),"",IF(SUMIFS($I$8:$I$657,$A$8:$A$657,A241)=0,"",I241*SUMIFS('Facturas y gastos'!$D$10:$D$13,'Facturas y gastos'!$A$10:$A$13,A241)/SUMIFS($I$8:$I$657,$A$8:$A$657,A241)))</f>
        <v>65.909864962080107</v>
      </c>
      <c r="K241" s="8">
        <f>IF(J241="","",IF(SUMIFS('Facturas y gastos'!$D$10:$D$13,'Facturas y gastos'!$A$10:$A$13,A241)=0,"",J241*SUMIFS('Facturas y gastos'!$G$10:$G$13,'Facturas y gastos'!$A$10:$A$13,A241)/SUMIFS('Facturas y gastos'!$D$10:$D$13,'Facturas y gastos'!$A$10:$A$13,A241)))</f>
        <v>0.65910320715059678</v>
      </c>
      <c r="L241" s="8">
        <f>IF(J241="","",IF(SUMIFS('Facturas y gastos'!$D$10:$D$13,'Facturas y gastos'!$A$10:$A$13,A241)=0,"",J241*SUMIFS('Facturas y gastos'!$H$10:$H$13,'Facturas y gastos'!$A$10:$A$13,A241)/SUMIFS('Facturas y gastos'!$D$10:$D$13,'Facturas y gastos'!$A$10:$A$13,A241)))</f>
        <v>1.977292741711806</v>
      </c>
      <c r="M241" s="8">
        <f>IF(J241="","",IF(SUMIFS('Facturas y gastos'!$D$10:$D$13,'Facturas y gastos'!$A$10:$A$13,A241)=0,"",J241*SUMIFS('Facturas y gastos'!$I$10:$I$13,'Facturas y gastos'!$A$10:$A$13,A241)/SUMIFS('Facturas y gastos'!$D$10:$D$13,'Facturas y gastos'!$A$10:$A$13,A241)))</f>
        <v>13.334994587265895</v>
      </c>
      <c r="N241" s="8">
        <f>IF(J241="","",IF(SUMIFS('Facturas y gastos'!$D$10:$D$13,'Facturas y gastos'!$A$10:$A$13,A241)=0,"",J241*SUMIFS('Facturas y gastos'!$J$10:$J$13,'Facturas y gastos'!$A$10:$A$13,A241)/SUMIFS('Facturas y gastos'!$D$10:$D$13,'Facturas y gastos'!$A$10:$A$13,A241)))</f>
        <v>0</v>
      </c>
      <c r="O241" s="8">
        <f t="shared" si="6"/>
        <v>80.563049083907217</v>
      </c>
      <c r="P241" s="8" t="str">
        <f>IF(OR(O241="",'Facturas y gastos'!$B$24="",'Facturas y gastos'!$B$45&lt;&gt;"OK",SUM($O$8:$O$657)=0),"",O241*'Facturas y gastos'!$B$43/SUM($O$8:$O$657))</f>
        <v/>
      </c>
      <c r="Q241" s="8" t="str">
        <f>IF(OR(O241="",'Facturas y gastos'!$B$5="",P241=""),"",O241*'Facturas y gastos'!$B$5+P241)</f>
        <v/>
      </c>
      <c r="R241" s="8" t="str">
        <f t="shared" si="7"/>
        <v/>
      </c>
    </row>
    <row r="242" spans="1:18">
      <c r="A242" s="25" t="s">
        <v>60</v>
      </c>
      <c r="B242" s="25">
        <v>116</v>
      </c>
      <c r="C242" s="25" t="s">
        <v>387</v>
      </c>
      <c r="D242" s="25" t="s">
        <v>171</v>
      </c>
      <c r="E242" s="25" t="s">
        <v>108</v>
      </c>
      <c r="F242" s="27">
        <v>144</v>
      </c>
      <c r="G242" s="27">
        <v>3</v>
      </c>
      <c r="H242" s="29">
        <v>1.3</v>
      </c>
      <c r="I242" s="29">
        <v>186.99</v>
      </c>
      <c r="J242" s="8">
        <f>IF(OR(A242="",I242=""),"",IF(SUMIFS($I$8:$I$657,$A$8:$A$657,A242)=0,"",I242*SUMIFS('Facturas y gastos'!$D$10:$D$13,'Facturas y gastos'!$A$10:$A$13,A242)/SUMIFS($I$8:$I$657,$A$8:$A$657,A242)))</f>
        <v>186.98961689059871</v>
      </c>
      <c r="K242" s="8">
        <f>IF(J242="","",IF(SUMIFS('Facturas y gastos'!$D$10:$D$13,'Facturas y gastos'!$A$10:$A$13,A242)=0,"",J242*SUMIFS('Facturas y gastos'!$G$10:$G$13,'Facturas y gastos'!$A$10:$A$13,A242)/SUMIFS('Facturas y gastos'!$D$10:$D$13,'Facturas y gastos'!$A$10:$A$13,A242)))</f>
        <v>1.8699090988482794</v>
      </c>
      <c r="L242" s="8">
        <f>IF(J242="","",IF(SUMIFS('Facturas y gastos'!$D$10:$D$13,'Facturas y gastos'!$A$10:$A$13,A242)=0,"",J242*SUMIFS('Facturas y gastos'!$H$10:$H$13,'Facturas y gastos'!$A$10:$A$13,A242)/SUMIFS('Facturas y gastos'!$D$10:$D$13,'Facturas y gastos'!$A$10:$A$13,A242)))</f>
        <v>5.609679407869681</v>
      </c>
      <c r="M242" s="8">
        <f>IF(J242="","",IF(SUMIFS('Facturas y gastos'!$D$10:$D$13,'Facturas y gastos'!$A$10:$A$13,A242)=0,"",J242*SUMIFS('Facturas y gastos'!$I$10:$I$13,'Facturas y gastos'!$A$10:$A$13,A242)/SUMIFS('Facturas y gastos'!$D$10:$D$13,'Facturas y gastos'!$A$10:$A$13,A242)))</f>
        <v>37.83205337388636</v>
      </c>
      <c r="N242" s="8">
        <f>IF(J242="","",IF(SUMIFS('Facturas y gastos'!$D$10:$D$13,'Facturas y gastos'!$A$10:$A$13,A242)=0,"",J242*SUMIFS('Facturas y gastos'!$J$10:$J$13,'Facturas y gastos'!$A$10:$A$13,A242)/SUMIFS('Facturas y gastos'!$D$10:$D$13,'Facturas y gastos'!$A$10:$A$13,A242)))</f>
        <v>0</v>
      </c>
      <c r="O242" s="8">
        <f t="shared" si="6"/>
        <v>228.5614405735065</v>
      </c>
      <c r="P242" s="8" t="str">
        <f>IF(OR(O242="",'Facturas y gastos'!$B$24="",'Facturas y gastos'!$B$45&lt;&gt;"OK",SUM($O$8:$O$657)=0),"",O242*'Facturas y gastos'!$B$43/SUM($O$8:$O$657))</f>
        <v/>
      </c>
      <c r="Q242" s="8" t="str">
        <f>IF(OR(O242="",'Facturas y gastos'!$B$5="",P242=""),"",O242*'Facturas y gastos'!$B$5+P242)</f>
        <v/>
      </c>
      <c r="R242" s="8" t="str">
        <f t="shared" si="7"/>
        <v/>
      </c>
    </row>
    <row r="243" spans="1:18">
      <c r="A243" s="25" t="s">
        <v>60</v>
      </c>
      <c r="B243" s="25">
        <v>117</v>
      </c>
      <c r="C243" s="25" t="s">
        <v>388</v>
      </c>
      <c r="D243" s="25" t="s">
        <v>171</v>
      </c>
      <c r="E243" s="25" t="s">
        <v>108</v>
      </c>
      <c r="F243" s="27">
        <v>108</v>
      </c>
      <c r="G243" s="27">
        <v>3</v>
      </c>
      <c r="H243" s="29">
        <v>2.67</v>
      </c>
      <c r="I243" s="29">
        <v>288.54000000000002</v>
      </c>
      <c r="J243" s="8">
        <f>IF(OR(A243="",I243=""),"",IF(SUMIFS($I$8:$I$657,$A$8:$A$657,A243)=0,"",I243*SUMIFS('Facturas y gastos'!$D$10:$D$13,'Facturas y gastos'!$A$10:$A$13,A243)/SUMIFS($I$8:$I$657,$A$8:$A$657,A243)))</f>
        <v>288.53940883262931</v>
      </c>
      <c r="K243" s="8">
        <f>IF(J243="","",IF(SUMIFS('Facturas y gastos'!$D$10:$D$13,'Facturas y gastos'!$A$10:$A$13,A243)=0,"",J243*SUMIFS('Facturas y gastos'!$G$10:$G$13,'Facturas y gastos'!$A$10:$A$13,A243)/SUMIFS('Facturas y gastos'!$D$10:$D$13,'Facturas y gastos'!$A$10:$A$13,A243)))</f>
        <v>2.8854140402250525</v>
      </c>
      <c r="L243" s="8">
        <f>IF(J243="","",IF(SUMIFS('Facturas y gastos'!$D$10:$D$13,'Facturas y gastos'!$A$10:$A$13,A243)=0,"",J243*SUMIFS('Facturas y gastos'!$H$10:$H$13,'Facturas y gastos'!$A$10:$A$13,A243)/SUMIFS('Facturas y gastos'!$D$10:$D$13,'Facturas y gastos'!$A$10:$A$13,A243)))</f>
        <v>8.6561682247538272</v>
      </c>
      <c r="M243" s="8">
        <f>IF(J243="","",IF(SUMIFS('Facturas y gastos'!$D$10:$D$13,'Facturas y gastos'!$A$10:$A$13,A243)=0,"",J243*SUMIFS('Facturas y gastos'!$I$10:$I$13,'Facturas y gastos'!$A$10:$A$13,A243)/SUMIFS('Facturas y gastos'!$D$10:$D$13,'Facturas y gastos'!$A$10:$A$13,A243)))</f>
        <v>58.377777851763042</v>
      </c>
      <c r="N243" s="8">
        <f>IF(J243="","",IF(SUMIFS('Facturas y gastos'!$D$10:$D$13,'Facturas y gastos'!$A$10:$A$13,A243)=0,"",J243*SUMIFS('Facturas y gastos'!$J$10:$J$13,'Facturas y gastos'!$A$10:$A$13,A243)/SUMIFS('Facturas y gastos'!$D$10:$D$13,'Facturas y gastos'!$A$10:$A$13,A243)))</f>
        <v>0</v>
      </c>
      <c r="O243" s="8">
        <f t="shared" si="6"/>
        <v>352.68794086892109</v>
      </c>
      <c r="P243" s="8" t="str">
        <f>IF(OR(O243="",'Facturas y gastos'!$B$24="",'Facturas y gastos'!$B$45&lt;&gt;"OK",SUM($O$8:$O$657)=0),"",O243*'Facturas y gastos'!$B$43/SUM($O$8:$O$657))</f>
        <v/>
      </c>
      <c r="Q243" s="8" t="str">
        <f>IF(OR(O243="",'Facturas y gastos'!$B$5="",P243=""),"",O243*'Facturas y gastos'!$B$5+P243)</f>
        <v/>
      </c>
      <c r="R243" s="8" t="str">
        <f t="shared" si="7"/>
        <v/>
      </c>
    </row>
    <row r="244" spans="1:18">
      <c r="A244" s="25" t="s">
        <v>60</v>
      </c>
      <c r="B244" s="25">
        <v>118</v>
      </c>
      <c r="C244" s="25" t="s">
        <v>389</v>
      </c>
      <c r="D244" s="25" t="s">
        <v>171</v>
      </c>
      <c r="E244" s="25" t="s">
        <v>108</v>
      </c>
      <c r="F244" s="27">
        <v>216</v>
      </c>
      <c r="G244" s="27">
        <v>6</v>
      </c>
      <c r="H244" s="29">
        <v>3.06</v>
      </c>
      <c r="I244" s="29">
        <v>660.9</v>
      </c>
      <c r="J244" s="8">
        <f>IF(OR(A244="",I244=""),"",IF(SUMIFS($I$8:$I$657,$A$8:$A$657,A244)=0,"",I244*SUMIFS('Facturas y gastos'!$D$10:$D$13,'Facturas y gastos'!$A$10:$A$13,A244)/SUMIFS($I$8:$I$657,$A$8:$A$657,A244)))</f>
        <v>660.89864593291986</v>
      </c>
      <c r="K244" s="8">
        <f>IF(J244="","",IF(SUMIFS('Facturas y gastos'!$D$10:$D$13,'Facturas y gastos'!$A$10:$A$13,A244)=0,"",J244*SUMIFS('Facturas y gastos'!$G$10:$G$13,'Facturas y gastos'!$A$10:$A$13,A244)/SUMIFS('Facturas y gastos'!$D$10:$D$13,'Facturas y gastos'!$A$10:$A$13,A244)))</f>
        <v>6.6090321590931485</v>
      </c>
      <c r="L244" s="8">
        <f>IF(J244="","",IF(SUMIFS('Facturas y gastos'!$D$10:$D$13,'Facturas y gastos'!$A$10:$A$13,A244)=0,"",J244*SUMIFS('Facturas y gastos'!$H$10:$H$13,'Facturas y gastos'!$A$10:$A$13,A244)/SUMIFS('Facturas y gastos'!$D$10:$D$13,'Facturas y gastos'!$A$10:$A$13,A244)))</f>
        <v>19.826927218894443</v>
      </c>
      <c r="M244" s="8">
        <f>IF(J244="","",IF(SUMIFS('Facturas y gastos'!$D$10:$D$13,'Facturas y gastos'!$A$10:$A$13,A244)=0,"",J244*SUMIFS('Facturas y gastos'!$I$10:$I$13,'Facturas y gastos'!$A$10:$A$13,A244)/SUMIFS('Facturas y gastos'!$D$10:$D$13,'Facturas y gastos'!$A$10:$A$13,A244)))</f>
        <v>133.71412414996254</v>
      </c>
      <c r="N244" s="8">
        <f>IF(J244="","",IF(SUMIFS('Facturas y gastos'!$D$10:$D$13,'Facturas y gastos'!$A$10:$A$13,A244)=0,"",J244*SUMIFS('Facturas y gastos'!$J$10:$J$13,'Facturas y gastos'!$A$10:$A$13,A244)/SUMIFS('Facturas y gastos'!$D$10:$D$13,'Facturas y gastos'!$A$10:$A$13,A244)))</f>
        <v>0</v>
      </c>
      <c r="O244" s="8">
        <f t="shared" si="6"/>
        <v>807.83066514268364</v>
      </c>
      <c r="P244" s="8" t="str">
        <f>IF(OR(O244="",'Facturas y gastos'!$B$24="",'Facturas y gastos'!$B$45&lt;&gt;"OK",SUM($O$8:$O$657)=0),"",O244*'Facturas y gastos'!$B$43/SUM($O$8:$O$657))</f>
        <v/>
      </c>
      <c r="Q244" s="8" t="str">
        <f>IF(OR(O244="",'Facturas y gastos'!$B$5="",P244=""),"",O244*'Facturas y gastos'!$B$5+P244)</f>
        <v/>
      </c>
      <c r="R244" s="8" t="str">
        <f t="shared" si="7"/>
        <v/>
      </c>
    </row>
    <row r="245" spans="1:18">
      <c r="A245" s="25" t="s">
        <v>60</v>
      </c>
      <c r="B245" s="25">
        <v>119</v>
      </c>
      <c r="C245" s="25" t="s">
        <v>390</v>
      </c>
      <c r="D245" s="25" t="s">
        <v>171</v>
      </c>
      <c r="E245" s="25" t="s">
        <v>108</v>
      </c>
      <c r="F245" s="27">
        <v>192</v>
      </c>
      <c r="G245" s="27">
        <v>2</v>
      </c>
      <c r="H245" s="29">
        <v>2.31</v>
      </c>
      <c r="I245" s="29">
        <v>444.18</v>
      </c>
      <c r="J245" s="8">
        <f>IF(OR(A245="",I245=""),"",IF(SUMIFS($I$8:$I$657,$A$8:$A$657,A245)=0,"",I245*SUMIFS('Facturas y gastos'!$D$10:$D$13,'Facturas y gastos'!$A$10:$A$13,A245)/SUMIFS($I$8:$I$657,$A$8:$A$657,A245)))</f>
        <v>444.17908995382714</v>
      </c>
      <c r="K245" s="8">
        <f>IF(J245="","",IF(SUMIFS('Facturas y gastos'!$D$10:$D$13,'Facturas y gastos'!$A$10:$A$13,A245)=0,"",J245*SUMIFS('Facturas y gastos'!$G$10:$G$13,'Facturas y gastos'!$A$10:$A$13,A245)/SUMIFS('Facturas y gastos'!$D$10:$D$13,'Facturas y gastos'!$A$10:$A$13,A245)))</f>
        <v>4.4418216135966029</v>
      </c>
      <c r="L245" s="8">
        <f>IF(J245="","",IF(SUMIFS('Facturas y gastos'!$D$10:$D$13,'Facturas y gastos'!$A$10:$A$13,A245)=0,"",J245*SUMIFS('Facturas y gastos'!$H$10:$H$13,'Facturas y gastos'!$A$10:$A$13,A245)/SUMIFS('Facturas y gastos'!$D$10:$D$13,'Facturas y gastos'!$A$10:$A$13,A245)))</f>
        <v>13.325351085018211</v>
      </c>
      <c r="M245" s="8">
        <f>IF(J245="","",IF(SUMIFS('Facturas y gastos'!$D$10:$D$13,'Facturas y gastos'!$A$10:$A$13,A245)=0,"",J245*SUMIFS('Facturas y gastos'!$I$10:$I$13,'Facturas y gastos'!$A$10:$A$13,A245)/SUMIFS('Facturas y gastos'!$D$10:$D$13,'Facturas y gastos'!$A$10:$A$13,A245)))</f>
        <v>89.867059562612127</v>
      </c>
      <c r="N245" s="8">
        <f>IF(J245="","",IF(SUMIFS('Facturas y gastos'!$D$10:$D$13,'Facturas y gastos'!$A$10:$A$13,A245)=0,"",J245*SUMIFS('Facturas y gastos'!$J$10:$J$13,'Facturas y gastos'!$A$10:$A$13,A245)/SUMIFS('Facturas y gastos'!$D$10:$D$13,'Facturas y gastos'!$A$10:$A$13,A245)))</f>
        <v>0</v>
      </c>
      <c r="O245" s="8">
        <f t="shared" si="6"/>
        <v>542.92967898786083</v>
      </c>
      <c r="P245" s="8" t="str">
        <f>IF(OR(O245="",'Facturas y gastos'!$B$24="",'Facturas y gastos'!$B$45&lt;&gt;"OK",SUM($O$8:$O$657)=0),"",O245*'Facturas y gastos'!$B$43/SUM($O$8:$O$657))</f>
        <v/>
      </c>
      <c r="Q245" s="8" t="str">
        <f>IF(OR(O245="",'Facturas y gastos'!$B$5="",P245=""),"",O245*'Facturas y gastos'!$B$5+P245)</f>
        <v/>
      </c>
      <c r="R245" s="8" t="str">
        <f t="shared" si="7"/>
        <v/>
      </c>
    </row>
    <row r="246" spans="1:18">
      <c r="A246" s="25" t="s">
        <v>61</v>
      </c>
      <c r="B246" s="25">
        <v>1</v>
      </c>
      <c r="C246" s="25" t="s">
        <v>391</v>
      </c>
      <c r="D246" s="25" t="s">
        <v>189</v>
      </c>
      <c r="E246" s="25" t="s">
        <v>108</v>
      </c>
      <c r="F246" s="27">
        <v>160</v>
      </c>
      <c r="G246" s="27">
        <v>10</v>
      </c>
      <c r="H246" s="29">
        <v>6.27</v>
      </c>
      <c r="I246" s="29">
        <v>1003.2</v>
      </c>
      <c r="J246" s="8">
        <f>IF(OR(A246="",I246=""),"",IF(SUMIFS($I$8:$I$657,$A$8:$A$657,A246)=0,"",I246*SUMIFS('Facturas y gastos'!$D$10:$D$13,'Facturas y gastos'!$A$10:$A$13,A246)/SUMIFS($I$8:$I$657,$A$8:$A$657,A246)))</f>
        <v>1003.1997478405455</v>
      </c>
      <c r="K246" s="8">
        <f>IF(J246="","",IF(SUMIFS('Facturas y gastos'!$D$10:$D$13,'Facturas y gastos'!$A$10:$A$13,A246)=0,"",J246*SUMIFS('Facturas y gastos'!$G$10:$G$13,'Facturas y gastos'!$A$10:$A$13,A246)/SUMIFS('Facturas y gastos'!$D$10:$D$13,'Facturas y gastos'!$A$10:$A$13,A246)))</f>
        <v>10.03191174419087</v>
      </c>
      <c r="L246" s="8">
        <f>IF(J246="","",IF(SUMIFS('Facturas y gastos'!$D$10:$D$13,'Facturas y gastos'!$A$10:$A$13,A246)=0,"",J246*SUMIFS('Facturas y gastos'!$H$10:$H$13,'Facturas y gastos'!$A$10:$A$13,A246)/SUMIFS('Facturas y gastos'!$D$10:$D$13,'Facturas y gastos'!$A$10:$A$13,A246)))</f>
        <v>30.095987392027272</v>
      </c>
      <c r="M246" s="8">
        <f>IF(J246="","",IF(SUMIFS('Facturas y gastos'!$D$10:$D$13,'Facturas y gastos'!$A$10:$A$13,A246)=0,"",J246*SUMIFS('Facturas y gastos'!$I$10:$I$13,'Facturas y gastos'!$A$10:$A$13,A246)/SUMIFS('Facturas y gastos'!$D$10:$D$13,'Facturas y gastos'!$A$10:$A$13,A246)))</f>
        <v>199.20596918134899</v>
      </c>
      <c r="N246" s="8">
        <f>IF(J246="","",IF(SUMIFS('Facturas y gastos'!$D$10:$D$13,'Facturas y gastos'!$A$10:$A$13,A246)=0,"",J246*SUMIFS('Facturas y gastos'!$J$10:$J$13,'Facturas y gastos'!$A$10:$A$13,A246)/SUMIFS('Facturas y gastos'!$D$10:$D$13,'Facturas y gastos'!$A$10:$A$13,A246)))</f>
        <v>0</v>
      </c>
      <c r="O246" s="8">
        <f t="shared" si="6"/>
        <v>1222.4697926697309</v>
      </c>
      <c r="P246" s="8" t="str">
        <f>IF(OR(O246="",'Facturas y gastos'!$B$24="",'Facturas y gastos'!$B$45&lt;&gt;"OK",SUM($O$8:$O$657)=0),"",O246*'Facturas y gastos'!$B$43/SUM($O$8:$O$657))</f>
        <v/>
      </c>
      <c r="Q246" s="8" t="str">
        <f>IF(OR(O246="",'Facturas y gastos'!$B$5="",P246=""),"",O246*'Facturas y gastos'!$B$5+P246)</f>
        <v/>
      </c>
      <c r="R246" s="8" t="str">
        <f t="shared" si="7"/>
        <v/>
      </c>
    </row>
    <row r="247" spans="1:18">
      <c r="A247" s="25" t="s">
        <v>61</v>
      </c>
      <c r="B247" s="25">
        <v>2</v>
      </c>
      <c r="C247" s="25" t="s">
        <v>392</v>
      </c>
      <c r="D247" s="25" t="s">
        <v>189</v>
      </c>
      <c r="E247" s="25" t="s">
        <v>108</v>
      </c>
      <c r="F247" s="27">
        <v>160</v>
      </c>
      <c r="G247" s="27">
        <v>10</v>
      </c>
      <c r="H247" s="29">
        <v>6.87</v>
      </c>
      <c r="I247" s="29">
        <v>1099.2</v>
      </c>
      <c r="J247" s="8">
        <f>IF(OR(A247="",I247=""),"",IF(SUMIFS($I$8:$I$657,$A$8:$A$657,A247)=0,"",I247*SUMIFS('Facturas y gastos'!$D$10:$D$13,'Facturas y gastos'!$A$10:$A$13,A247)/SUMIFS($I$8:$I$657,$A$8:$A$657,A247)))</f>
        <v>1099.1997237104542</v>
      </c>
      <c r="K247" s="8">
        <f>IF(J247="","",IF(SUMIFS('Facturas y gastos'!$D$10:$D$13,'Facturas y gastos'!$A$10:$A$13,A247)=0,"",J247*SUMIFS('Facturas y gastos'!$G$10:$G$13,'Facturas y gastos'!$A$10:$A$13,A247)/SUMIFS('Facturas y gastos'!$D$10:$D$13,'Facturas y gastos'!$A$10:$A$13,A247)))</f>
        <v>10.991903298658897</v>
      </c>
      <c r="L247" s="8">
        <f>IF(J247="","",IF(SUMIFS('Facturas y gastos'!$D$10:$D$13,'Facturas y gastos'!$A$10:$A$13,A247)=0,"",J247*SUMIFS('Facturas y gastos'!$H$10:$H$13,'Facturas y gastos'!$A$10:$A$13,A247)/SUMIFS('Facturas y gastos'!$D$10:$D$13,'Facturas y gastos'!$A$10:$A$13,A247)))</f>
        <v>32.975986185522707</v>
      </c>
      <c r="M247" s="8">
        <f>IF(J247="","",IF(SUMIFS('Facturas y gastos'!$D$10:$D$13,'Facturas y gastos'!$A$10:$A$13,A247)=0,"",J247*SUMIFS('Facturas y gastos'!$I$10:$I$13,'Facturas y gastos'!$A$10:$A$13,A247)/SUMIFS('Facturas y gastos'!$D$10:$D$13,'Facturas y gastos'!$A$10:$A$13,A247)))</f>
        <v>218.26874135181305</v>
      </c>
      <c r="N247" s="8">
        <f>IF(J247="","",IF(SUMIFS('Facturas y gastos'!$D$10:$D$13,'Facturas y gastos'!$A$10:$A$13,A247)=0,"",J247*SUMIFS('Facturas y gastos'!$J$10:$J$13,'Facturas y gastos'!$A$10:$A$13,A247)/SUMIFS('Facturas y gastos'!$D$10:$D$13,'Facturas y gastos'!$A$10:$A$13,A247)))</f>
        <v>0</v>
      </c>
      <c r="O247" s="8">
        <f t="shared" si="6"/>
        <v>1339.4525479491313</v>
      </c>
      <c r="P247" s="8" t="str">
        <f>IF(OR(O247="",'Facturas y gastos'!$B$24="",'Facturas y gastos'!$B$45&lt;&gt;"OK",SUM($O$8:$O$657)=0),"",O247*'Facturas y gastos'!$B$43/SUM($O$8:$O$657))</f>
        <v/>
      </c>
      <c r="Q247" s="8" t="str">
        <f>IF(OR(O247="",'Facturas y gastos'!$B$5="",P247=""),"",O247*'Facturas y gastos'!$B$5+P247)</f>
        <v/>
      </c>
      <c r="R247" s="8" t="str">
        <f t="shared" si="7"/>
        <v/>
      </c>
    </row>
    <row r="248" spans="1:18">
      <c r="A248" s="25" t="s">
        <v>61</v>
      </c>
      <c r="B248" s="25">
        <v>3</v>
      </c>
      <c r="C248" s="25" t="s">
        <v>393</v>
      </c>
      <c r="D248" s="25" t="s">
        <v>394</v>
      </c>
      <c r="E248" s="25" t="s">
        <v>108</v>
      </c>
      <c r="F248" s="27">
        <v>300</v>
      </c>
      <c r="G248" s="27">
        <v>3</v>
      </c>
      <c r="H248" s="29">
        <v>0.25</v>
      </c>
      <c r="I248" s="29">
        <v>75</v>
      </c>
      <c r="J248" s="8">
        <f>IF(OR(A248="",I248=""),"",IF(SUMIFS($I$8:$I$657,$A$8:$A$657,A248)=0,"",I248*SUMIFS('Facturas y gastos'!$D$10:$D$13,'Facturas y gastos'!$A$10:$A$13,A248)/SUMIFS($I$8:$I$657,$A$8:$A$657,A248)))</f>
        <v>74.999981148366132</v>
      </c>
      <c r="K248" s="8">
        <f>IF(J248="","",IF(SUMIFS('Facturas y gastos'!$D$10:$D$13,'Facturas y gastos'!$A$10:$A$13,A248)=0,"",J248*SUMIFS('Facturas y gastos'!$G$10:$G$13,'Facturas y gastos'!$A$10:$A$13,A248)/SUMIFS('Facturas y gastos'!$D$10:$D$13,'Facturas y gastos'!$A$10:$A$13,A248)))</f>
        <v>0.74999340192814512</v>
      </c>
      <c r="L248" s="8">
        <f>IF(J248="","",IF(SUMIFS('Facturas y gastos'!$D$10:$D$13,'Facturas y gastos'!$A$10:$A$13,A248)=0,"",J248*SUMIFS('Facturas y gastos'!$H$10:$H$13,'Facturas y gastos'!$A$10:$A$13,A248)/SUMIFS('Facturas y gastos'!$D$10:$D$13,'Facturas y gastos'!$A$10:$A$13,A248)))</f>
        <v>2.2499990574183064</v>
      </c>
      <c r="M248" s="8">
        <f>IF(J248="","",IF(SUMIFS('Facturas y gastos'!$D$10:$D$13,'Facturas y gastos'!$A$10:$A$13,A248)=0,"",J248*SUMIFS('Facturas y gastos'!$I$10:$I$13,'Facturas y gastos'!$A$10:$A$13,A248)/SUMIFS('Facturas y gastos'!$D$10:$D$13,'Facturas y gastos'!$A$10:$A$13,A248)))</f>
        <v>14.892790758175012</v>
      </c>
      <c r="N248" s="8">
        <f>IF(J248="","",IF(SUMIFS('Facturas y gastos'!$D$10:$D$13,'Facturas y gastos'!$A$10:$A$13,A248)=0,"",J248*SUMIFS('Facturas y gastos'!$J$10:$J$13,'Facturas y gastos'!$A$10:$A$13,A248)/SUMIFS('Facturas y gastos'!$D$10:$D$13,'Facturas y gastos'!$A$10:$A$13,A248)))</f>
        <v>0</v>
      </c>
      <c r="O248" s="8">
        <f t="shared" si="6"/>
        <v>91.392777562031299</v>
      </c>
      <c r="P248" s="8" t="str">
        <f>IF(OR(O248="",'Facturas y gastos'!$B$24="",'Facturas y gastos'!$B$45&lt;&gt;"OK",SUM($O$8:$O$657)=0),"",O248*'Facturas y gastos'!$B$43/SUM($O$8:$O$657))</f>
        <v/>
      </c>
      <c r="Q248" s="8" t="str">
        <f>IF(OR(O248="",'Facturas y gastos'!$B$5="",P248=""),"",O248*'Facturas y gastos'!$B$5+P248)</f>
        <v/>
      </c>
      <c r="R248" s="8" t="str">
        <f t="shared" si="7"/>
        <v/>
      </c>
    </row>
    <row r="249" spans="1:18">
      <c r="A249" s="25" t="s">
        <v>61</v>
      </c>
      <c r="B249" s="25">
        <v>4</v>
      </c>
      <c r="C249" s="25" t="s">
        <v>395</v>
      </c>
      <c r="D249" s="25" t="s">
        <v>137</v>
      </c>
      <c r="E249" s="25" t="s">
        <v>108</v>
      </c>
      <c r="F249" s="27">
        <v>2160</v>
      </c>
      <c r="G249" s="27">
        <v>30</v>
      </c>
      <c r="H249" s="29">
        <v>0.43</v>
      </c>
      <c r="I249" s="29">
        <v>928.8</v>
      </c>
      <c r="J249" s="8">
        <f>IF(OR(A249="",I249=""),"",IF(SUMIFS($I$8:$I$657,$A$8:$A$657,A249)=0,"",I249*SUMIFS('Facturas y gastos'!$D$10:$D$13,'Facturas y gastos'!$A$10:$A$13,A249)/SUMIFS($I$8:$I$657,$A$8:$A$657,A249)))</f>
        <v>928.79976654136613</v>
      </c>
      <c r="K249" s="8">
        <f>IF(J249="","",IF(SUMIFS('Facturas y gastos'!$D$10:$D$13,'Facturas y gastos'!$A$10:$A$13,A249)=0,"",J249*SUMIFS('Facturas y gastos'!$G$10:$G$13,'Facturas y gastos'!$A$10:$A$13,A249)/SUMIFS('Facturas y gastos'!$D$10:$D$13,'Facturas y gastos'!$A$10:$A$13,A249)))</f>
        <v>9.2879182894781493</v>
      </c>
      <c r="L249" s="8">
        <f>IF(J249="","",IF(SUMIFS('Facturas y gastos'!$D$10:$D$13,'Facturas y gastos'!$A$10:$A$13,A249)=0,"",J249*SUMIFS('Facturas y gastos'!$H$10:$H$13,'Facturas y gastos'!$A$10:$A$13,A249)/SUMIFS('Facturas y gastos'!$D$10:$D$13,'Facturas y gastos'!$A$10:$A$13,A249)))</f>
        <v>27.863988327068306</v>
      </c>
      <c r="M249" s="8">
        <f>IF(J249="","",IF(SUMIFS('Facturas y gastos'!$D$10:$D$13,'Facturas y gastos'!$A$10:$A$13,A249)=0,"",J249*SUMIFS('Facturas y gastos'!$I$10:$I$13,'Facturas y gastos'!$A$10:$A$13,A249)/SUMIFS('Facturas y gastos'!$D$10:$D$13,'Facturas y gastos'!$A$10:$A$13,A249)))</f>
        <v>184.43232074923935</v>
      </c>
      <c r="N249" s="8">
        <f>IF(J249="","",IF(SUMIFS('Facturas y gastos'!$D$10:$D$13,'Facturas y gastos'!$A$10:$A$13,A249)=0,"",J249*SUMIFS('Facturas y gastos'!$J$10:$J$13,'Facturas y gastos'!$A$10:$A$13,A249)/SUMIFS('Facturas y gastos'!$D$10:$D$13,'Facturas y gastos'!$A$10:$A$13,A249)))</f>
        <v>0</v>
      </c>
      <c r="O249" s="8">
        <f t="shared" si="6"/>
        <v>1131.8081573281956</v>
      </c>
      <c r="P249" s="8" t="str">
        <f>IF(OR(O249="",'Facturas y gastos'!$B$24="",'Facturas y gastos'!$B$45&lt;&gt;"OK",SUM($O$8:$O$657)=0),"",O249*'Facturas y gastos'!$B$43/SUM($O$8:$O$657))</f>
        <v/>
      </c>
      <c r="Q249" s="8" t="str">
        <f>IF(OR(O249="",'Facturas y gastos'!$B$5="",P249=""),"",O249*'Facturas y gastos'!$B$5+P249)</f>
        <v/>
      </c>
      <c r="R249" s="8" t="str">
        <f t="shared" si="7"/>
        <v/>
      </c>
    </row>
    <row r="250" spans="1:18">
      <c r="A250" s="25" t="s">
        <v>61</v>
      </c>
      <c r="B250" s="25">
        <v>5</v>
      </c>
      <c r="C250" s="25" t="s">
        <v>396</v>
      </c>
      <c r="D250" s="25" t="s">
        <v>137</v>
      </c>
      <c r="E250" s="25" t="s">
        <v>108</v>
      </c>
      <c r="F250" s="27">
        <v>2160</v>
      </c>
      <c r="G250" s="27">
        <v>60</v>
      </c>
      <c r="H250" s="29">
        <v>0.82</v>
      </c>
      <c r="I250" s="29">
        <v>1771.2</v>
      </c>
      <c r="J250" s="8">
        <f>IF(OR(A250="",I250=""),"",IF(SUMIFS($I$8:$I$657,$A$8:$A$657,A250)=0,"",I250*SUMIFS('Facturas y gastos'!$D$10:$D$13,'Facturas y gastos'!$A$10:$A$13,A250)/SUMIFS($I$8:$I$657,$A$8:$A$657,A250)))</f>
        <v>1771.1995547998149</v>
      </c>
      <c r="K250" s="8">
        <f>IF(J250="","",IF(SUMIFS('Facturas y gastos'!$D$10:$D$13,'Facturas y gastos'!$A$10:$A$13,A250)=0,"",J250*SUMIFS('Facturas y gastos'!$G$10:$G$13,'Facturas y gastos'!$A$10:$A$13,A250)/SUMIFS('Facturas y gastos'!$D$10:$D$13,'Facturas y gastos'!$A$10:$A$13,A250)))</f>
        <v>17.711844179935078</v>
      </c>
      <c r="L250" s="8">
        <f>IF(J250="","",IF(SUMIFS('Facturas y gastos'!$D$10:$D$13,'Facturas y gastos'!$A$10:$A$13,A250)=0,"",J250*SUMIFS('Facturas y gastos'!$H$10:$H$13,'Facturas y gastos'!$A$10:$A$13,A250)/SUMIFS('Facturas y gastos'!$D$10:$D$13,'Facturas y gastos'!$A$10:$A$13,A250)))</f>
        <v>53.135977739990736</v>
      </c>
      <c r="M250" s="8">
        <f>IF(J250="","",IF(SUMIFS('Facturas y gastos'!$D$10:$D$13,'Facturas y gastos'!$A$10:$A$13,A250)=0,"",J250*SUMIFS('Facturas y gastos'!$I$10:$I$13,'Facturas y gastos'!$A$10:$A$13,A250)/SUMIFS('Facturas y gastos'!$D$10:$D$13,'Facturas y gastos'!$A$10:$A$13,A250)))</f>
        <v>351.7081465450612</v>
      </c>
      <c r="N250" s="8">
        <f>IF(J250="","",IF(SUMIFS('Facturas y gastos'!$D$10:$D$13,'Facturas y gastos'!$A$10:$A$13,A250)=0,"",J250*SUMIFS('Facturas y gastos'!$J$10:$J$13,'Facturas y gastos'!$A$10:$A$13,A250)/SUMIFS('Facturas y gastos'!$D$10:$D$13,'Facturas y gastos'!$A$10:$A$13,A250)))</f>
        <v>0</v>
      </c>
      <c r="O250" s="8">
        <f t="shared" si="6"/>
        <v>2158.3318349049318</v>
      </c>
      <c r="P250" s="8" t="str">
        <f>IF(OR(O250="",'Facturas y gastos'!$B$24="",'Facturas y gastos'!$B$45&lt;&gt;"OK",SUM($O$8:$O$657)=0),"",O250*'Facturas y gastos'!$B$43/SUM($O$8:$O$657))</f>
        <v/>
      </c>
      <c r="Q250" s="8" t="str">
        <f>IF(OR(O250="",'Facturas y gastos'!$B$5="",P250=""),"",O250*'Facturas y gastos'!$B$5+P250)</f>
        <v/>
      </c>
      <c r="R250" s="8" t="str">
        <f t="shared" si="7"/>
        <v/>
      </c>
    </row>
    <row r="251" spans="1:18">
      <c r="A251" s="25" t="s">
        <v>61</v>
      </c>
      <c r="B251" s="25">
        <v>6</v>
      </c>
      <c r="C251" s="25" t="s">
        <v>397</v>
      </c>
      <c r="D251" s="25" t="s">
        <v>394</v>
      </c>
      <c r="E251" s="25" t="s">
        <v>108</v>
      </c>
      <c r="F251" s="27">
        <v>300</v>
      </c>
      <c r="G251" s="27">
        <v>3</v>
      </c>
      <c r="H251" s="29">
        <v>0.25</v>
      </c>
      <c r="I251" s="29">
        <v>75</v>
      </c>
      <c r="J251" s="8">
        <f>IF(OR(A251="",I251=""),"",IF(SUMIFS($I$8:$I$657,$A$8:$A$657,A251)=0,"",I251*SUMIFS('Facturas y gastos'!$D$10:$D$13,'Facturas y gastos'!$A$10:$A$13,A251)/SUMIFS($I$8:$I$657,$A$8:$A$657,A251)))</f>
        <v>74.999981148366132</v>
      </c>
      <c r="K251" s="8">
        <f>IF(J251="","",IF(SUMIFS('Facturas y gastos'!$D$10:$D$13,'Facturas y gastos'!$A$10:$A$13,A251)=0,"",J251*SUMIFS('Facturas y gastos'!$G$10:$G$13,'Facturas y gastos'!$A$10:$A$13,A251)/SUMIFS('Facturas y gastos'!$D$10:$D$13,'Facturas y gastos'!$A$10:$A$13,A251)))</f>
        <v>0.74999340192814512</v>
      </c>
      <c r="L251" s="8">
        <f>IF(J251="","",IF(SUMIFS('Facturas y gastos'!$D$10:$D$13,'Facturas y gastos'!$A$10:$A$13,A251)=0,"",J251*SUMIFS('Facturas y gastos'!$H$10:$H$13,'Facturas y gastos'!$A$10:$A$13,A251)/SUMIFS('Facturas y gastos'!$D$10:$D$13,'Facturas y gastos'!$A$10:$A$13,A251)))</f>
        <v>2.2499990574183064</v>
      </c>
      <c r="M251" s="8">
        <f>IF(J251="","",IF(SUMIFS('Facturas y gastos'!$D$10:$D$13,'Facturas y gastos'!$A$10:$A$13,A251)=0,"",J251*SUMIFS('Facturas y gastos'!$I$10:$I$13,'Facturas y gastos'!$A$10:$A$13,A251)/SUMIFS('Facturas y gastos'!$D$10:$D$13,'Facturas y gastos'!$A$10:$A$13,A251)))</f>
        <v>14.892790758175012</v>
      </c>
      <c r="N251" s="8">
        <f>IF(J251="","",IF(SUMIFS('Facturas y gastos'!$D$10:$D$13,'Facturas y gastos'!$A$10:$A$13,A251)=0,"",J251*SUMIFS('Facturas y gastos'!$J$10:$J$13,'Facturas y gastos'!$A$10:$A$13,A251)/SUMIFS('Facturas y gastos'!$D$10:$D$13,'Facturas y gastos'!$A$10:$A$13,A251)))</f>
        <v>0</v>
      </c>
      <c r="O251" s="8">
        <f t="shared" si="6"/>
        <v>91.392777562031299</v>
      </c>
      <c r="P251" s="8" t="str">
        <f>IF(OR(O251="",'Facturas y gastos'!$B$24="",'Facturas y gastos'!$B$45&lt;&gt;"OK",SUM($O$8:$O$657)=0),"",O251*'Facturas y gastos'!$B$43/SUM($O$8:$O$657))</f>
        <v/>
      </c>
      <c r="Q251" s="8" t="str">
        <f>IF(OR(O251="",'Facturas y gastos'!$B$5="",P251=""),"",O251*'Facturas y gastos'!$B$5+P251)</f>
        <v/>
      </c>
      <c r="R251" s="8" t="str">
        <f t="shared" si="7"/>
        <v/>
      </c>
    </row>
    <row r="252" spans="1:18">
      <c r="A252" s="25" t="s">
        <v>61</v>
      </c>
      <c r="B252" s="25">
        <v>7</v>
      </c>
      <c r="C252" s="25" t="s">
        <v>398</v>
      </c>
      <c r="D252" s="25" t="s">
        <v>394</v>
      </c>
      <c r="E252" s="25" t="s">
        <v>108</v>
      </c>
      <c r="F252" s="27">
        <v>300</v>
      </c>
      <c r="G252" s="27">
        <v>5</v>
      </c>
      <c r="H252" s="29">
        <v>0.43</v>
      </c>
      <c r="I252" s="29">
        <v>129</v>
      </c>
      <c r="J252" s="8">
        <f>IF(OR(A252="",I252=""),"",IF(SUMIFS($I$8:$I$657,$A$8:$A$657,A252)=0,"",I252*SUMIFS('Facturas y gastos'!$D$10:$D$13,'Facturas y gastos'!$A$10:$A$13,A252)/SUMIFS($I$8:$I$657,$A$8:$A$657,A252)))</f>
        <v>128.99996757518974</v>
      </c>
      <c r="K252" s="8">
        <f>IF(J252="","",IF(SUMIFS('Facturas y gastos'!$D$10:$D$13,'Facturas y gastos'!$A$10:$A$13,A252)=0,"",J252*SUMIFS('Facturas y gastos'!$G$10:$G$13,'Facturas y gastos'!$A$10:$A$13,A252)/SUMIFS('Facturas y gastos'!$D$10:$D$13,'Facturas y gastos'!$A$10:$A$13,A252)))</f>
        <v>1.2899886513164096</v>
      </c>
      <c r="L252" s="8">
        <f>IF(J252="","",IF(SUMIFS('Facturas y gastos'!$D$10:$D$13,'Facturas y gastos'!$A$10:$A$13,A252)=0,"",J252*SUMIFS('Facturas y gastos'!$H$10:$H$13,'Facturas y gastos'!$A$10:$A$13,A252)/SUMIFS('Facturas y gastos'!$D$10:$D$13,'Facturas y gastos'!$A$10:$A$13,A252)))</f>
        <v>3.8699983787594872</v>
      </c>
      <c r="M252" s="8">
        <f>IF(J252="","",IF(SUMIFS('Facturas y gastos'!$D$10:$D$13,'Facturas y gastos'!$A$10:$A$13,A252)=0,"",J252*SUMIFS('Facturas y gastos'!$I$10:$I$13,'Facturas y gastos'!$A$10:$A$13,A252)/SUMIFS('Facturas y gastos'!$D$10:$D$13,'Facturas y gastos'!$A$10:$A$13,A252)))</f>
        <v>25.615600104061024</v>
      </c>
      <c r="N252" s="8">
        <f>IF(J252="","",IF(SUMIFS('Facturas y gastos'!$D$10:$D$13,'Facturas y gastos'!$A$10:$A$13,A252)=0,"",J252*SUMIFS('Facturas y gastos'!$J$10:$J$13,'Facturas y gastos'!$A$10:$A$13,A252)/SUMIFS('Facturas y gastos'!$D$10:$D$13,'Facturas y gastos'!$A$10:$A$13,A252)))</f>
        <v>0</v>
      </c>
      <c r="O252" s="8">
        <f t="shared" si="6"/>
        <v>157.19557740669384</v>
      </c>
      <c r="P252" s="8" t="str">
        <f>IF(OR(O252="",'Facturas y gastos'!$B$24="",'Facturas y gastos'!$B$45&lt;&gt;"OK",SUM($O$8:$O$657)=0),"",O252*'Facturas y gastos'!$B$43/SUM($O$8:$O$657))</f>
        <v/>
      </c>
      <c r="Q252" s="8" t="str">
        <f>IF(OR(O252="",'Facturas y gastos'!$B$5="",P252=""),"",O252*'Facturas y gastos'!$B$5+P252)</f>
        <v/>
      </c>
      <c r="R252" s="8" t="str">
        <f t="shared" si="7"/>
        <v/>
      </c>
    </row>
    <row r="253" spans="1:18">
      <c r="A253" s="25" t="s">
        <v>61</v>
      </c>
      <c r="B253" s="25">
        <v>8</v>
      </c>
      <c r="C253" s="25" t="s">
        <v>399</v>
      </c>
      <c r="D253" s="25" t="s">
        <v>137</v>
      </c>
      <c r="E253" s="25" t="s">
        <v>108</v>
      </c>
      <c r="F253" s="27">
        <v>2160</v>
      </c>
      <c r="G253" s="27">
        <v>30</v>
      </c>
      <c r="H253" s="29">
        <v>0.43</v>
      </c>
      <c r="I253" s="29">
        <v>928.8</v>
      </c>
      <c r="J253" s="8">
        <f>IF(OR(A253="",I253=""),"",IF(SUMIFS($I$8:$I$657,$A$8:$A$657,A253)=0,"",I253*SUMIFS('Facturas y gastos'!$D$10:$D$13,'Facturas y gastos'!$A$10:$A$13,A253)/SUMIFS($I$8:$I$657,$A$8:$A$657,A253)))</f>
        <v>928.79976654136613</v>
      </c>
      <c r="K253" s="8">
        <f>IF(J253="","",IF(SUMIFS('Facturas y gastos'!$D$10:$D$13,'Facturas y gastos'!$A$10:$A$13,A253)=0,"",J253*SUMIFS('Facturas y gastos'!$G$10:$G$13,'Facturas y gastos'!$A$10:$A$13,A253)/SUMIFS('Facturas y gastos'!$D$10:$D$13,'Facturas y gastos'!$A$10:$A$13,A253)))</f>
        <v>9.2879182894781493</v>
      </c>
      <c r="L253" s="8">
        <f>IF(J253="","",IF(SUMIFS('Facturas y gastos'!$D$10:$D$13,'Facturas y gastos'!$A$10:$A$13,A253)=0,"",J253*SUMIFS('Facturas y gastos'!$H$10:$H$13,'Facturas y gastos'!$A$10:$A$13,A253)/SUMIFS('Facturas y gastos'!$D$10:$D$13,'Facturas y gastos'!$A$10:$A$13,A253)))</f>
        <v>27.863988327068306</v>
      </c>
      <c r="M253" s="8">
        <f>IF(J253="","",IF(SUMIFS('Facturas y gastos'!$D$10:$D$13,'Facturas y gastos'!$A$10:$A$13,A253)=0,"",J253*SUMIFS('Facturas y gastos'!$I$10:$I$13,'Facturas y gastos'!$A$10:$A$13,A253)/SUMIFS('Facturas y gastos'!$D$10:$D$13,'Facturas y gastos'!$A$10:$A$13,A253)))</f>
        <v>184.43232074923935</v>
      </c>
      <c r="N253" s="8">
        <f>IF(J253="","",IF(SUMIFS('Facturas y gastos'!$D$10:$D$13,'Facturas y gastos'!$A$10:$A$13,A253)=0,"",J253*SUMIFS('Facturas y gastos'!$J$10:$J$13,'Facturas y gastos'!$A$10:$A$13,A253)/SUMIFS('Facturas y gastos'!$D$10:$D$13,'Facturas y gastos'!$A$10:$A$13,A253)))</f>
        <v>0</v>
      </c>
      <c r="O253" s="8">
        <f t="shared" si="6"/>
        <v>1131.8081573281956</v>
      </c>
      <c r="P253" s="8" t="str">
        <f>IF(OR(O253="",'Facturas y gastos'!$B$24="",'Facturas y gastos'!$B$45&lt;&gt;"OK",SUM($O$8:$O$657)=0),"",O253*'Facturas y gastos'!$B$43/SUM($O$8:$O$657))</f>
        <v/>
      </c>
      <c r="Q253" s="8" t="str">
        <f>IF(OR(O253="",'Facturas y gastos'!$B$5="",P253=""),"",O253*'Facturas y gastos'!$B$5+P253)</f>
        <v/>
      </c>
      <c r="R253" s="8" t="str">
        <f t="shared" si="7"/>
        <v/>
      </c>
    </row>
    <row r="254" spans="1:18">
      <c r="A254" s="25" t="s">
        <v>61</v>
      </c>
      <c r="B254" s="25">
        <v>9</v>
      </c>
      <c r="C254" s="25" t="s">
        <v>400</v>
      </c>
      <c r="D254" s="25" t="s">
        <v>394</v>
      </c>
      <c r="E254" s="25" t="s">
        <v>108</v>
      </c>
      <c r="F254" s="27">
        <v>300</v>
      </c>
      <c r="G254" s="27">
        <v>3</v>
      </c>
      <c r="H254" s="29">
        <v>0.25</v>
      </c>
      <c r="I254" s="29">
        <v>75</v>
      </c>
      <c r="J254" s="8">
        <f>IF(OR(A254="",I254=""),"",IF(SUMIFS($I$8:$I$657,$A$8:$A$657,A254)=0,"",I254*SUMIFS('Facturas y gastos'!$D$10:$D$13,'Facturas y gastos'!$A$10:$A$13,A254)/SUMIFS($I$8:$I$657,$A$8:$A$657,A254)))</f>
        <v>74.999981148366132</v>
      </c>
      <c r="K254" s="8">
        <f>IF(J254="","",IF(SUMIFS('Facturas y gastos'!$D$10:$D$13,'Facturas y gastos'!$A$10:$A$13,A254)=0,"",J254*SUMIFS('Facturas y gastos'!$G$10:$G$13,'Facturas y gastos'!$A$10:$A$13,A254)/SUMIFS('Facturas y gastos'!$D$10:$D$13,'Facturas y gastos'!$A$10:$A$13,A254)))</f>
        <v>0.74999340192814512</v>
      </c>
      <c r="L254" s="8">
        <f>IF(J254="","",IF(SUMIFS('Facturas y gastos'!$D$10:$D$13,'Facturas y gastos'!$A$10:$A$13,A254)=0,"",J254*SUMIFS('Facturas y gastos'!$H$10:$H$13,'Facturas y gastos'!$A$10:$A$13,A254)/SUMIFS('Facturas y gastos'!$D$10:$D$13,'Facturas y gastos'!$A$10:$A$13,A254)))</f>
        <v>2.2499990574183064</v>
      </c>
      <c r="M254" s="8">
        <f>IF(J254="","",IF(SUMIFS('Facturas y gastos'!$D$10:$D$13,'Facturas y gastos'!$A$10:$A$13,A254)=0,"",J254*SUMIFS('Facturas y gastos'!$I$10:$I$13,'Facturas y gastos'!$A$10:$A$13,A254)/SUMIFS('Facturas y gastos'!$D$10:$D$13,'Facturas y gastos'!$A$10:$A$13,A254)))</f>
        <v>14.892790758175012</v>
      </c>
      <c r="N254" s="8">
        <f>IF(J254="","",IF(SUMIFS('Facturas y gastos'!$D$10:$D$13,'Facturas y gastos'!$A$10:$A$13,A254)=0,"",J254*SUMIFS('Facturas y gastos'!$J$10:$J$13,'Facturas y gastos'!$A$10:$A$13,A254)/SUMIFS('Facturas y gastos'!$D$10:$D$13,'Facturas y gastos'!$A$10:$A$13,A254)))</f>
        <v>0</v>
      </c>
      <c r="O254" s="8">
        <f t="shared" si="6"/>
        <v>91.392777562031299</v>
      </c>
      <c r="P254" s="8" t="str">
        <f>IF(OR(O254="",'Facturas y gastos'!$B$24="",'Facturas y gastos'!$B$45&lt;&gt;"OK",SUM($O$8:$O$657)=0),"",O254*'Facturas y gastos'!$B$43/SUM($O$8:$O$657))</f>
        <v/>
      </c>
      <c r="Q254" s="8" t="str">
        <f>IF(OR(O254="",'Facturas y gastos'!$B$5="",P254=""),"",O254*'Facturas y gastos'!$B$5+P254)</f>
        <v/>
      </c>
      <c r="R254" s="8" t="str">
        <f t="shared" si="7"/>
        <v/>
      </c>
    </row>
    <row r="255" spans="1:18">
      <c r="A255" s="25" t="s">
        <v>61</v>
      </c>
      <c r="B255" s="25">
        <v>10</v>
      </c>
      <c r="C255" s="25" t="s">
        <v>401</v>
      </c>
      <c r="D255" s="25" t="s">
        <v>394</v>
      </c>
      <c r="E255" s="25" t="s">
        <v>108</v>
      </c>
      <c r="F255" s="27">
        <v>300</v>
      </c>
      <c r="G255" s="27">
        <v>5</v>
      </c>
      <c r="H255" s="29">
        <v>0.43</v>
      </c>
      <c r="I255" s="29">
        <v>129</v>
      </c>
      <c r="J255" s="8">
        <f>IF(OR(A255="",I255=""),"",IF(SUMIFS($I$8:$I$657,$A$8:$A$657,A255)=0,"",I255*SUMIFS('Facturas y gastos'!$D$10:$D$13,'Facturas y gastos'!$A$10:$A$13,A255)/SUMIFS($I$8:$I$657,$A$8:$A$657,A255)))</f>
        <v>128.99996757518974</v>
      </c>
      <c r="K255" s="8">
        <f>IF(J255="","",IF(SUMIFS('Facturas y gastos'!$D$10:$D$13,'Facturas y gastos'!$A$10:$A$13,A255)=0,"",J255*SUMIFS('Facturas y gastos'!$G$10:$G$13,'Facturas y gastos'!$A$10:$A$13,A255)/SUMIFS('Facturas y gastos'!$D$10:$D$13,'Facturas y gastos'!$A$10:$A$13,A255)))</f>
        <v>1.2899886513164096</v>
      </c>
      <c r="L255" s="8">
        <f>IF(J255="","",IF(SUMIFS('Facturas y gastos'!$D$10:$D$13,'Facturas y gastos'!$A$10:$A$13,A255)=0,"",J255*SUMIFS('Facturas y gastos'!$H$10:$H$13,'Facturas y gastos'!$A$10:$A$13,A255)/SUMIFS('Facturas y gastos'!$D$10:$D$13,'Facturas y gastos'!$A$10:$A$13,A255)))</f>
        <v>3.8699983787594872</v>
      </c>
      <c r="M255" s="8">
        <f>IF(J255="","",IF(SUMIFS('Facturas y gastos'!$D$10:$D$13,'Facturas y gastos'!$A$10:$A$13,A255)=0,"",J255*SUMIFS('Facturas y gastos'!$I$10:$I$13,'Facturas y gastos'!$A$10:$A$13,A255)/SUMIFS('Facturas y gastos'!$D$10:$D$13,'Facturas y gastos'!$A$10:$A$13,A255)))</f>
        <v>25.615600104061024</v>
      </c>
      <c r="N255" s="8">
        <f>IF(J255="","",IF(SUMIFS('Facturas y gastos'!$D$10:$D$13,'Facturas y gastos'!$A$10:$A$13,A255)=0,"",J255*SUMIFS('Facturas y gastos'!$J$10:$J$13,'Facturas y gastos'!$A$10:$A$13,A255)/SUMIFS('Facturas y gastos'!$D$10:$D$13,'Facturas y gastos'!$A$10:$A$13,A255)))</f>
        <v>0</v>
      </c>
      <c r="O255" s="8">
        <f t="shared" si="6"/>
        <v>157.19557740669384</v>
      </c>
      <c r="P255" s="8" t="str">
        <f>IF(OR(O255="",'Facturas y gastos'!$B$24="",'Facturas y gastos'!$B$45&lt;&gt;"OK",SUM($O$8:$O$657)=0),"",O255*'Facturas y gastos'!$B$43/SUM($O$8:$O$657))</f>
        <v/>
      </c>
      <c r="Q255" s="8" t="str">
        <f>IF(OR(O255="",'Facturas y gastos'!$B$5="",P255=""),"",O255*'Facturas y gastos'!$B$5+P255)</f>
        <v/>
      </c>
      <c r="R255" s="8" t="str">
        <f t="shared" si="7"/>
        <v/>
      </c>
    </row>
    <row r="256" spans="1:18">
      <c r="A256" s="25" t="s">
        <v>61</v>
      </c>
      <c r="B256" s="25">
        <v>11</v>
      </c>
      <c r="C256" s="25" t="s">
        <v>402</v>
      </c>
      <c r="D256" s="25" t="s">
        <v>137</v>
      </c>
      <c r="E256" s="25" t="s">
        <v>108</v>
      </c>
      <c r="F256" s="27">
        <v>2160</v>
      </c>
      <c r="G256" s="27">
        <v>30</v>
      </c>
      <c r="H256" s="29">
        <v>0.43</v>
      </c>
      <c r="I256" s="29">
        <v>928.8</v>
      </c>
      <c r="J256" s="8">
        <f>IF(OR(A256="",I256=""),"",IF(SUMIFS($I$8:$I$657,$A$8:$A$657,A256)=0,"",I256*SUMIFS('Facturas y gastos'!$D$10:$D$13,'Facturas y gastos'!$A$10:$A$13,A256)/SUMIFS($I$8:$I$657,$A$8:$A$657,A256)))</f>
        <v>928.79976654136613</v>
      </c>
      <c r="K256" s="8">
        <f>IF(J256="","",IF(SUMIFS('Facturas y gastos'!$D$10:$D$13,'Facturas y gastos'!$A$10:$A$13,A256)=0,"",J256*SUMIFS('Facturas y gastos'!$G$10:$G$13,'Facturas y gastos'!$A$10:$A$13,A256)/SUMIFS('Facturas y gastos'!$D$10:$D$13,'Facturas y gastos'!$A$10:$A$13,A256)))</f>
        <v>9.2879182894781493</v>
      </c>
      <c r="L256" s="8">
        <f>IF(J256="","",IF(SUMIFS('Facturas y gastos'!$D$10:$D$13,'Facturas y gastos'!$A$10:$A$13,A256)=0,"",J256*SUMIFS('Facturas y gastos'!$H$10:$H$13,'Facturas y gastos'!$A$10:$A$13,A256)/SUMIFS('Facturas y gastos'!$D$10:$D$13,'Facturas y gastos'!$A$10:$A$13,A256)))</f>
        <v>27.863988327068306</v>
      </c>
      <c r="M256" s="8">
        <f>IF(J256="","",IF(SUMIFS('Facturas y gastos'!$D$10:$D$13,'Facturas y gastos'!$A$10:$A$13,A256)=0,"",J256*SUMIFS('Facturas y gastos'!$I$10:$I$13,'Facturas y gastos'!$A$10:$A$13,A256)/SUMIFS('Facturas y gastos'!$D$10:$D$13,'Facturas y gastos'!$A$10:$A$13,A256)))</f>
        <v>184.43232074923935</v>
      </c>
      <c r="N256" s="8">
        <f>IF(J256="","",IF(SUMIFS('Facturas y gastos'!$D$10:$D$13,'Facturas y gastos'!$A$10:$A$13,A256)=0,"",J256*SUMIFS('Facturas y gastos'!$J$10:$J$13,'Facturas y gastos'!$A$10:$A$13,A256)/SUMIFS('Facturas y gastos'!$D$10:$D$13,'Facturas y gastos'!$A$10:$A$13,A256)))</f>
        <v>0</v>
      </c>
      <c r="O256" s="8">
        <f t="shared" si="6"/>
        <v>1131.8081573281956</v>
      </c>
      <c r="P256" s="8" t="str">
        <f>IF(OR(O256="",'Facturas y gastos'!$B$24="",'Facturas y gastos'!$B$45&lt;&gt;"OK",SUM($O$8:$O$657)=0),"",O256*'Facturas y gastos'!$B$43/SUM($O$8:$O$657))</f>
        <v/>
      </c>
      <c r="Q256" s="8" t="str">
        <f>IF(OR(O256="",'Facturas y gastos'!$B$5="",P256=""),"",O256*'Facturas y gastos'!$B$5+P256)</f>
        <v/>
      </c>
      <c r="R256" s="8" t="str">
        <f t="shared" si="7"/>
        <v/>
      </c>
    </row>
    <row r="257" spans="1:18">
      <c r="A257" s="25" t="s">
        <v>61</v>
      </c>
      <c r="B257" s="25">
        <v>12</v>
      </c>
      <c r="C257" s="25" t="s">
        <v>403</v>
      </c>
      <c r="D257" s="25" t="s">
        <v>137</v>
      </c>
      <c r="E257" s="25" t="s">
        <v>108</v>
      </c>
      <c r="F257" s="27">
        <v>1800</v>
      </c>
      <c r="G257" s="27">
        <v>50</v>
      </c>
      <c r="H257" s="29">
        <v>0.82</v>
      </c>
      <c r="I257" s="29">
        <v>1476</v>
      </c>
      <c r="J257" s="8">
        <f>IF(OR(A257="",I257=""),"",IF(SUMIFS($I$8:$I$657,$A$8:$A$657,A257)=0,"",I257*SUMIFS('Facturas y gastos'!$D$10:$D$13,'Facturas y gastos'!$A$10:$A$13,A257)/SUMIFS($I$8:$I$657,$A$8:$A$657,A257)))</f>
        <v>1475.9996289998458</v>
      </c>
      <c r="K257" s="8">
        <f>IF(J257="","",IF(SUMIFS('Facturas y gastos'!$D$10:$D$13,'Facturas y gastos'!$A$10:$A$13,A257)=0,"",J257*SUMIFS('Facturas y gastos'!$G$10:$G$13,'Facturas y gastos'!$A$10:$A$13,A257)/SUMIFS('Facturas y gastos'!$D$10:$D$13,'Facturas y gastos'!$A$10:$A$13,A257)))</f>
        <v>14.759870149945899</v>
      </c>
      <c r="L257" s="8">
        <f>IF(J257="","",IF(SUMIFS('Facturas y gastos'!$D$10:$D$13,'Facturas y gastos'!$A$10:$A$13,A257)=0,"",J257*SUMIFS('Facturas y gastos'!$H$10:$H$13,'Facturas y gastos'!$A$10:$A$13,A257)/SUMIFS('Facturas y gastos'!$D$10:$D$13,'Facturas y gastos'!$A$10:$A$13,A257)))</f>
        <v>44.279981449992277</v>
      </c>
      <c r="M257" s="8">
        <f>IF(J257="","",IF(SUMIFS('Facturas y gastos'!$D$10:$D$13,'Facturas y gastos'!$A$10:$A$13,A257)=0,"",J257*SUMIFS('Facturas y gastos'!$I$10:$I$13,'Facturas y gastos'!$A$10:$A$13,A257)/SUMIFS('Facturas y gastos'!$D$10:$D$13,'Facturas y gastos'!$A$10:$A$13,A257)))</f>
        <v>293.0901221208843</v>
      </c>
      <c r="N257" s="8">
        <f>IF(J257="","",IF(SUMIFS('Facturas y gastos'!$D$10:$D$13,'Facturas y gastos'!$A$10:$A$13,A257)=0,"",J257*SUMIFS('Facturas y gastos'!$J$10:$J$13,'Facturas y gastos'!$A$10:$A$13,A257)/SUMIFS('Facturas y gastos'!$D$10:$D$13,'Facturas y gastos'!$A$10:$A$13,A257)))</f>
        <v>0</v>
      </c>
      <c r="O257" s="8">
        <f t="shared" si="6"/>
        <v>1798.6098624207762</v>
      </c>
      <c r="P257" s="8" t="str">
        <f>IF(OR(O257="",'Facturas y gastos'!$B$24="",'Facturas y gastos'!$B$45&lt;&gt;"OK",SUM($O$8:$O$657)=0),"",O257*'Facturas y gastos'!$B$43/SUM($O$8:$O$657))</f>
        <v/>
      </c>
      <c r="Q257" s="8" t="str">
        <f>IF(OR(O257="",'Facturas y gastos'!$B$5="",P257=""),"",O257*'Facturas y gastos'!$B$5+P257)</f>
        <v/>
      </c>
      <c r="R257" s="8" t="str">
        <f t="shared" si="7"/>
        <v/>
      </c>
    </row>
    <row r="258" spans="1:18">
      <c r="A258" s="25" t="s">
        <v>61</v>
      </c>
      <c r="B258" s="25">
        <v>13</v>
      </c>
      <c r="C258" s="25" t="s">
        <v>404</v>
      </c>
      <c r="D258" s="25" t="s">
        <v>405</v>
      </c>
      <c r="E258" s="25" t="s">
        <v>108</v>
      </c>
      <c r="F258" s="27">
        <v>80</v>
      </c>
      <c r="G258" s="27">
        <v>10</v>
      </c>
      <c r="H258" s="29">
        <v>6.19</v>
      </c>
      <c r="I258" s="29">
        <v>495.2</v>
      </c>
      <c r="J258" s="8">
        <f>IF(OR(A258="",I258=""),"",IF(SUMIFS($I$8:$I$657,$A$8:$A$657,A258)=0,"",I258*SUMIFS('Facturas y gastos'!$D$10:$D$13,'Facturas y gastos'!$A$10:$A$13,A258)/SUMIFS($I$8:$I$657,$A$8:$A$657,A258)))</f>
        <v>495.19987552894548</v>
      </c>
      <c r="K258" s="8">
        <f>IF(J258="","",IF(SUMIFS('Facturas y gastos'!$D$10:$D$13,'Facturas y gastos'!$A$10:$A$13,A258)=0,"",J258*SUMIFS('Facturas y gastos'!$G$10:$G$13,'Facturas y gastos'!$A$10:$A$13,A258)/SUMIFS('Facturas y gastos'!$D$10:$D$13,'Facturas y gastos'!$A$10:$A$13,A258)))</f>
        <v>4.9519564351309002</v>
      </c>
      <c r="L258" s="8">
        <f>IF(J258="","",IF(SUMIFS('Facturas y gastos'!$D$10:$D$13,'Facturas y gastos'!$A$10:$A$13,A258)=0,"",J258*SUMIFS('Facturas y gastos'!$H$10:$H$13,'Facturas y gastos'!$A$10:$A$13,A258)/SUMIFS('Facturas y gastos'!$D$10:$D$13,'Facturas y gastos'!$A$10:$A$13,A258)))</f>
        <v>14.855993776447272</v>
      </c>
      <c r="M258" s="8">
        <f>IF(J258="","",IF(SUMIFS('Facturas y gastos'!$D$10:$D$13,'Facturas y gastos'!$A$10:$A$13,A258)=0,"",J258*SUMIFS('Facturas y gastos'!$I$10:$I$13,'Facturas y gastos'!$A$10:$A$13,A258)/SUMIFS('Facturas y gastos'!$D$10:$D$13,'Facturas y gastos'!$A$10:$A$13,A258)))</f>
        <v>98.332133112643561</v>
      </c>
      <c r="N258" s="8">
        <f>IF(J258="","",IF(SUMIFS('Facturas y gastos'!$D$10:$D$13,'Facturas y gastos'!$A$10:$A$13,A258)=0,"",J258*SUMIFS('Facturas y gastos'!$J$10:$J$13,'Facturas y gastos'!$A$10:$A$13,A258)/SUMIFS('Facturas y gastos'!$D$10:$D$13,'Facturas y gastos'!$A$10:$A$13,A258)))</f>
        <v>0</v>
      </c>
      <c r="O258" s="8">
        <f t="shared" si="6"/>
        <v>603.4360459829054</v>
      </c>
      <c r="P258" s="8" t="str">
        <f>IF(OR(O258="",'Facturas y gastos'!$B$24="",'Facturas y gastos'!$B$45&lt;&gt;"OK",SUM($O$8:$O$657)=0),"",O258*'Facturas y gastos'!$B$43/SUM($O$8:$O$657))</f>
        <v/>
      </c>
      <c r="Q258" s="8" t="str">
        <f>IF(OR(O258="",'Facturas y gastos'!$B$5="",P258=""),"",O258*'Facturas y gastos'!$B$5+P258)</f>
        <v/>
      </c>
      <c r="R258" s="8" t="str">
        <f t="shared" si="7"/>
        <v/>
      </c>
    </row>
    <row r="259" spans="1:18">
      <c r="A259" s="25" t="s">
        <v>61</v>
      </c>
      <c r="B259" s="25">
        <v>14</v>
      </c>
      <c r="C259" s="25" t="s">
        <v>406</v>
      </c>
      <c r="D259" s="25" t="s">
        <v>405</v>
      </c>
      <c r="E259" s="25" t="s">
        <v>108</v>
      </c>
      <c r="F259" s="27">
        <v>80</v>
      </c>
      <c r="G259" s="27">
        <v>10</v>
      </c>
      <c r="H259" s="29">
        <v>6.19</v>
      </c>
      <c r="I259" s="29">
        <v>495.2</v>
      </c>
      <c r="J259" s="8">
        <f>IF(OR(A259="",I259=""),"",IF(SUMIFS($I$8:$I$657,$A$8:$A$657,A259)=0,"",I259*SUMIFS('Facturas y gastos'!$D$10:$D$13,'Facturas y gastos'!$A$10:$A$13,A259)/SUMIFS($I$8:$I$657,$A$8:$A$657,A259)))</f>
        <v>495.19987552894548</v>
      </c>
      <c r="K259" s="8">
        <f>IF(J259="","",IF(SUMIFS('Facturas y gastos'!$D$10:$D$13,'Facturas y gastos'!$A$10:$A$13,A259)=0,"",J259*SUMIFS('Facturas y gastos'!$G$10:$G$13,'Facturas y gastos'!$A$10:$A$13,A259)/SUMIFS('Facturas y gastos'!$D$10:$D$13,'Facturas y gastos'!$A$10:$A$13,A259)))</f>
        <v>4.9519564351309002</v>
      </c>
      <c r="L259" s="8">
        <f>IF(J259="","",IF(SUMIFS('Facturas y gastos'!$D$10:$D$13,'Facturas y gastos'!$A$10:$A$13,A259)=0,"",J259*SUMIFS('Facturas y gastos'!$H$10:$H$13,'Facturas y gastos'!$A$10:$A$13,A259)/SUMIFS('Facturas y gastos'!$D$10:$D$13,'Facturas y gastos'!$A$10:$A$13,A259)))</f>
        <v>14.855993776447272</v>
      </c>
      <c r="M259" s="8">
        <f>IF(J259="","",IF(SUMIFS('Facturas y gastos'!$D$10:$D$13,'Facturas y gastos'!$A$10:$A$13,A259)=0,"",J259*SUMIFS('Facturas y gastos'!$I$10:$I$13,'Facturas y gastos'!$A$10:$A$13,A259)/SUMIFS('Facturas y gastos'!$D$10:$D$13,'Facturas y gastos'!$A$10:$A$13,A259)))</f>
        <v>98.332133112643561</v>
      </c>
      <c r="N259" s="8">
        <f>IF(J259="","",IF(SUMIFS('Facturas y gastos'!$D$10:$D$13,'Facturas y gastos'!$A$10:$A$13,A259)=0,"",J259*SUMIFS('Facturas y gastos'!$J$10:$J$13,'Facturas y gastos'!$A$10:$A$13,A259)/SUMIFS('Facturas y gastos'!$D$10:$D$13,'Facturas y gastos'!$A$10:$A$13,A259)))</f>
        <v>0</v>
      </c>
      <c r="O259" s="8">
        <f t="shared" si="6"/>
        <v>603.4360459829054</v>
      </c>
      <c r="P259" s="8" t="str">
        <f>IF(OR(O259="",'Facturas y gastos'!$B$24="",'Facturas y gastos'!$B$45&lt;&gt;"OK",SUM($O$8:$O$657)=0),"",O259*'Facturas y gastos'!$B$43/SUM($O$8:$O$657))</f>
        <v/>
      </c>
      <c r="Q259" s="8" t="str">
        <f>IF(OR(O259="",'Facturas y gastos'!$B$5="",P259=""),"",O259*'Facturas y gastos'!$B$5+P259)</f>
        <v/>
      </c>
      <c r="R259" s="8" t="str">
        <f t="shared" si="7"/>
        <v/>
      </c>
    </row>
    <row r="260" spans="1:18">
      <c r="A260" s="25" t="s">
        <v>61</v>
      </c>
      <c r="B260" s="25">
        <v>15</v>
      </c>
      <c r="C260" s="25" t="s">
        <v>407</v>
      </c>
      <c r="D260" s="25" t="s">
        <v>405</v>
      </c>
      <c r="E260" s="25" t="s">
        <v>108</v>
      </c>
      <c r="F260" s="27">
        <v>80</v>
      </c>
      <c r="G260" s="27">
        <v>10</v>
      </c>
      <c r="H260" s="29">
        <v>6.19</v>
      </c>
      <c r="I260" s="29">
        <v>495.2</v>
      </c>
      <c r="J260" s="8">
        <f>IF(OR(A260="",I260=""),"",IF(SUMIFS($I$8:$I$657,$A$8:$A$657,A260)=0,"",I260*SUMIFS('Facturas y gastos'!$D$10:$D$13,'Facturas y gastos'!$A$10:$A$13,A260)/SUMIFS($I$8:$I$657,$A$8:$A$657,A260)))</f>
        <v>495.19987552894548</v>
      </c>
      <c r="K260" s="8">
        <f>IF(J260="","",IF(SUMIFS('Facturas y gastos'!$D$10:$D$13,'Facturas y gastos'!$A$10:$A$13,A260)=0,"",J260*SUMIFS('Facturas y gastos'!$G$10:$G$13,'Facturas y gastos'!$A$10:$A$13,A260)/SUMIFS('Facturas y gastos'!$D$10:$D$13,'Facturas y gastos'!$A$10:$A$13,A260)))</f>
        <v>4.9519564351309002</v>
      </c>
      <c r="L260" s="8">
        <f>IF(J260="","",IF(SUMIFS('Facturas y gastos'!$D$10:$D$13,'Facturas y gastos'!$A$10:$A$13,A260)=0,"",J260*SUMIFS('Facturas y gastos'!$H$10:$H$13,'Facturas y gastos'!$A$10:$A$13,A260)/SUMIFS('Facturas y gastos'!$D$10:$D$13,'Facturas y gastos'!$A$10:$A$13,A260)))</f>
        <v>14.855993776447272</v>
      </c>
      <c r="M260" s="8">
        <f>IF(J260="","",IF(SUMIFS('Facturas y gastos'!$D$10:$D$13,'Facturas y gastos'!$A$10:$A$13,A260)=0,"",J260*SUMIFS('Facturas y gastos'!$I$10:$I$13,'Facturas y gastos'!$A$10:$A$13,A260)/SUMIFS('Facturas y gastos'!$D$10:$D$13,'Facturas y gastos'!$A$10:$A$13,A260)))</f>
        <v>98.332133112643561</v>
      </c>
      <c r="N260" s="8">
        <f>IF(J260="","",IF(SUMIFS('Facturas y gastos'!$D$10:$D$13,'Facturas y gastos'!$A$10:$A$13,A260)=0,"",J260*SUMIFS('Facturas y gastos'!$J$10:$J$13,'Facturas y gastos'!$A$10:$A$13,A260)/SUMIFS('Facturas y gastos'!$D$10:$D$13,'Facturas y gastos'!$A$10:$A$13,A260)))</f>
        <v>0</v>
      </c>
      <c r="O260" s="8">
        <f t="shared" si="6"/>
        <v>603.4360459829054</v>
      </c>
      <c r="P260" s="8" t="str">
        <f>IF(OR(O260="",'Facturas y gastos'!$B$24="",'Facturas y gastos'!$B$45&lt;&gt;"OK",SUM($O$8:$O$657)=0),"",O260*'Facturas y gastos'!$B$43/SUM($O$8:$O$657))</f>
        <v/>
      </c>
      <c r="Q260" s="8" t="str">
        <f>IF(OR(O260="",'Facturas y gastos'!$B$5="",P260=""),"",O260*'Facturas y gastos'!$B$5+P260)</f>
        <v/>
      </c>
      <c r="R260" s="8" t="str">
        <f t="shared" si="7"/>
        <v/>
      </c>
    </row>
    <row r="261" spans="1:18">
      <c r="A261" s="25" t="s">
        <v>61</v>
      </c>
      <c r="B261" s="25">
        <v>16</v>
      </c>
      <c r="C261" s="25" t="s">
        <v>408</v>
      </c>
      <c r="D261" s="25" t="s">
        <v>405</v>
      </c>
      <c r="E261" s="25" t="s">
        <v>108</v>
      </c>
      <c r="F261" s="27">
        <v>90</v>
      </c>
      <c r="G261" s="27">
        <v>15</v>
      </c>
      <c r="H261" s="29">
        <v>10.45</v>
      </c>
      <c r="I261" s="29">
        <v>940.5</v>
      </c>
      <c r="J261" s="8">
        <f>IF(OR(A261="",I261=""),"",IF(SUMIFS($I$8:$I$657,$A$8:$A$657,A261)=0,"",I261*SUMIFS('Facturas y gastos'!$D$10:$D$13,'Facturas y gastos'!$A$10:$A$13,A261)/SUMIFS($I$8:$I$657,$A$8:$A$657,A261)))</f>
        <v>940.49976360051141</v>
      </c>
      <c r="K261" s="8">
        <f>IF(J261="","",IF(SUMIFS('Facturas y gastos'!$D$10:$D$13,'Facturas y gastos'!$A$10:$A$13,A261)=0,"",J261*SUMIFS('Facturas y gastos'!$G$10:$G$13,'Facturas y gastos'!$A$10:$A$13,A261)/SUMIFS('Facturas y gastos'!$D$10:$D$13,'Facturas y gastos'!$A$10:$A$13,A261)))</f>
        <v>9.4049172601789408</v>
      </c>
      <c r="L261" s="8">
        <f>IF(J261="","",IF(SUMIFS('Facturas y gastos'!$D$10:$D$13,'Facturas y gastos'!$A$10:$A$13,A261)=0,"",J261*SUMIFS('Facturas y gastos'!$H$10:$H$13,'Facturas y gastos'!$A$10:$A$13,A261)/SUMIFS('Facturas y gastos'!$D$10:$D$13,'Facturas y gastos'!$A$10:$A$13,A261)))</f>
        <v>28.214988180025568</v>
      </c>
      <c r="M261" s="8">
        <f>IF(J261="","",IF(SUMIFS('Facturas y gastos'!$D$10:$D$13,'Facturas y gastos'!$A$10:$A$13,A261)=0,"",J261*SUMIFS('Facturas y gastos'!$I$10:$I$13,'Facturas y gastos'!$A$10:$A$13,A261)/SUMIFS('Facturas y gastos'!$D$10:$D$13,'Facturas y gastos'!$A$10:$A$13,A261)))</f>
        <v>186.75559610751469</v>
      </c>
      <c r="N261" s="8">
        <f>IF(J261="","",IF(SUMIFS('Facturas y gastos'!$D$10:$D$13,'Facturas y gastos'!$A$10:$A$13,A261)=0,"",J261*SUMIFS('Facturas y gastos'!$J$10:$J$13,'Facturas y gastos'!$A$10:$A$13,A261)/SUMIFS('Facturas y gastos'!$D$10:$D$13,'Facturas y gastos'!$A$10:$A$13,A261)))</f>
        <v>0</v>
      </c>
      <c r="O261" s="8">
        <f t="shared" si="6"/>
        <v>1146.0654306278727</v>
      </c>
      <c r="P261" s="8" t="str">
        <f>IF(OR(O261="",'Facturas y gastos'!$B$24="",'Facturas y gastos'!$B$45&lt;&gt;"OK",SUM($O$8:$O$657)=0),"",O261*'Facturas y gastos'!$B$43/SUM($O$8:$O$657))</f>
        <v/>
      </c>
      <c r="Q261" s="8" t="str">
        <f>IF(OR(O261="",'Facturas y gastos'!$B$5="",P261=""),"",O261*'Facturas y gastos'!$B$5+P261)</f>
        <v/>
      </c>
      <c r="R261" s="8" t="str">
        <f t="shared" si="7"/>
        <v/>
      </c>
    </row>
    <row r="262" spans="1:18">
      <c r="A262" s="25" t="s">
        <v>61</v>
      </c>
      <c r="B262" s="25">
        <v>17</v>
      </c>
      <c r="C262" s="25" t="s">
        <v>409</v>
      </c>
      <c r="D262" s="25" t="s">
        <v>405</v>
      </c>
      <c r="E262" s="25" t="s">
        <v>108</v>
      </c>
      <c r="F262" s="27">
        <v>90</v>
      </c>
      <c r="G262" s="27">
        <v>15</v>
      </c>
      <c r="H262" s="29">
        <v>10.45</v>
      </c>
      <c r="I262" s="29">
        <v>940.5</v>
      </c>
      <c r="J262" s="8">
        <f>IF(OR(A262="",I262=""),"",IF(SUMIFS($I$8:$I$657,$A$8:$A$657,A262)=0,"",I262*SUMIFS('Facturas y gastos'!$D$10:$D$13,'Facturas y gastos'!$A$10:$A$13,A262)/SUMIFS($I$8:$I$657,$A$8:$A$657,A262)))</f>
        <v>940.49976360051141</v>
      </c>
      <c r="K262" s="8">
        <f>IF(J262="","",IF(SUMIFS('Facturas y gastos'!$D$10:$D$13,'Facturas y gastos'!$A$10:$A$13,A262)=0,"",J262*SUMIFS('Facturas y gastos'!$G$10:$G$13,'Facturas y gastos'!$A$10:$A$13,A262)/SUMIFS('Facturas y gastos'!$D$10:$D$13,'Facturas y gastos'!$A$10:$A$13,A262)))</f>
        <v>9.4049172601789408</v>
      </c>
      <c r="L262" s="8">
        <f>IF(J262="","",IF(SUMIFS('Facturas y gastos'!$D$10:$D$13,'Facturas y gastos'!$A$10:$A$13,A262)=0,"",J262*SUMIFS('Facturas y gastos'!$H$10:$H$13,'Facturas y gastos'!$A$10:$A$13,A262)/SUMIFS('Facturas y gastos'!$D$10:$D$13,'Facturas y gastos'!$A$10:$A$13,A262)))</f>
        <v>28.214988180025568</v>
      </c>
      <c r="M262" s="8">
        <f>IF(J262="","",IF(SUMIFS('Facturas y gastos'!$D$10:$D$13,'Facturas y gastos'!$A$10:$A$13,A262)=0,"",J262*SUMIFS('Facturas y gastos'!$I$10:$I$13,'Facturas y gastos'!$A$10:$A$13,A262)/SUMIFS('Facturas y gastos'!$D$10:$D$13,'Facturas y gastos'!$A$10:$A$13,A262)))</f>
        <v>186.75559610751469</v>
      </c>
      <c r="N262" s="8">
        <f>IF(J262="","",IF(SUMIFS('Facturas y gastos'!$D$10:$D$13,'Facturas y gastos'!$A$10:$A$13,A262)=0,"",J262*SUMIFS('Facturas y gastos'!$J$10:$J$13,'Facturas y gastos'!$A$10:$A$13,A262)/SUMIFS('Facturas y gastos'!$D$10:$D$13,'Facturas y gastos'!$A$10:$A$13,A262)))</f>
        <v>0</v>
      </c>
      <c r="O262" s="8">
        <f t="shared" si="6"/>
        <v>1146.0654306278727</v>
      </c>
      <c r="P262" s="8" t="str">
        <f>IF(OR(O262="",'Facturas y gastos'!$B$24="",'Facturas y gastos'!$B$45&lt;&gt;"OK",SUM($O$8:$O$657)=0),"",O262*'Facturas y gastos'!$B$43/SUM($O$8:$O$657))</f>
        <v/>
      </c>
      <c r="Q262" s="8" t="str">
        <f>IF(OR(O262="",'Facturas y gastos'!$B$5="",P262=""),"",O262*'Facturas y gastos'!$B$5+P262)</f>
        <v/>
      </c>
      <c r="R262" s="8" t="str">
        <f t="shared" si="7"/>
        <v/>
      </c>
    </row>
    <row r="263" spans="1:18">
      <c r="A263" s="25" t="s">
        <v>61</v>
      </c>
      <c r="B263" s="25">
        <v>18</v>
      </c>
      <c r="C263" s="25" t="s">
        <v>410</v>
      </c>
      <c r="D263" s="25" t="s">
        <v>394</v>
      </c>
      <c r="E263" s="25" t="s">
        <v>108</v>
      </c>
      <c r="F263" s="27">
        <v>360</v>
      </c>
      <c r="G263" s="27">
        <v>3</v>
      </c>
      <c r="H263" s="29">
        <v>0.25</v>
      </c>
      <c r="I263" s="29">
        <v>90</v>
      </c>
      <c r="J263" s="8">
        <f>IF(OR(A263="",I263=""),"",IF(SUMIFS($I$8:$I$657,$A$8:$A$657,A263)=0,"",I263*SUMIFS('Facturas y gastos'!$D$10:$D$13,'Facturas y gastos'!$A$10:$A$13,A263)/SUMIFS($I$8:$I$657,$A$8:$A$657,A263)))</f>
        <v>89.999977378039361</v>
      </c>
      <c r="K263" s="8">
        <f>IF(J263="","",IF(SUMIFS('Facturas y gastos'!$D$10:$D$13,'Facturas y gastos'!$A$10:$A$13,A263)=0,"",J263*SUMIFS('Facturas y gastos'!$G$10:$G$13,'Facturas y gastos'!$A$10:$A$13,A263)/SUMIFS('Facturas y gastos'!$D$10:$D$13,'Facturas y gastos'!$A$10:$A$13,A263)))</f>
        <v>0.89999208231377426</v>
      </c>
      <c r="L263" s="8">
        <f>IF(J263="","",IF(SUMIFS('Facturas y gastos'!$D$10:$D$13,'Facturas y gastos'!$A$10:$A$13,A263)=0,"",J263*SUMIFS('Facturas y gastos'!$H$10:$H$13,'Facturas y gastos'!$A$10:$A$13,A263)/SUMIFS('Facturas y gastos'!$D$10:$D$13,'Facturas y gastos'!$A$10:$A$13,A263)))</f>
        <v>2.6999988689019681</v>
      </c>
      <c r="M263" s="8">
        <f>IF(J263="","",IF(SUMIFS('Facturas y gastos'!$D$10:$D$13,'Facturas y gastos'!$A$10:$A$13,A263)=0,"",J263*SUMIFS('Facturas y gastos'!$I$10:$I$13,'Facturas y gastos'!$A$10:$A$13,A263)/SUMIFS('Facturas y gastos'!$D$10:$D$13,'Facturas y gastos'!$A$10:$A$13,A263)))</f>
        <v>17.871348909810013</v>
      </c>
      <c r="N263" s="8">
        <f>IF(J263="","",IF(SUMIFS('Facturas y gastos'!$D$10:$D$13,'Facturas y gastos'!$A$10:$A$13,A263)=0,"",J263*SUMIFS('Facturas y gastos'!$J$10:$J$13,'Facturas y gastos'!$A$10:$A$13,A263)/SUMIFS('Facturas y gastos'!$D$10:$D$13,'Facturas y gastos'!$A$10:$A$13,A263)))</f>
        <v>0</v>
      </c>
      <c r="O263" s="8">
        <f t="shared" si="6"/>
        <v>109.67133307443757</v>
      </c>
      <c r="P263" s="8" t="str">
        <f>IF(OR(O263="",'Facturas y gastos'!$B$24="",'Facturas y gastos'!$B$45&lt;&gt;"OK",SUM($O$8:$O$657)=0),"",O263*'Facturas y gastos'!$B$43/SUM($O$8:$O$657))</f>
        <v/>
      </c>
      <c r="Q263" s="8" t="str">
        <f>IF(OR(O263="",'Facturas y gastos'!$B$5="",P263=""),"",O263*'Facturas y gastos'!$B$5+P263)</f>
        <v/>
      </c>
      <c r="R263" s="8" t="str">
        <f t="shared" si="7"/>
        <v/>
      </c>
    </row>
    <row r="264" spans="1:18">
      <c r="A264" s="25" t="s">
        <v>61</v>
      </c>
      <c r="B264" s="25">
        <v>19</v>
      </c>
      <c r="C264" s="25" t="s">
        <v>411</v>
      </c>
      <c r="D264" s="25" t="s">
        <v>394</v>
      </c>
      <c r="E264" s="25" t="s">
        <v>108</v>
      </c>
      <c r="F264" s="27">
        <v>300</v>
      </c>
      <c r="G264" s="27">
        <v>5</v>
      </c>
      <c r="H264" s="29">
        <v>0.37</v>
      </c>
      <c r="I264" s="29">
        <v>111</v>
      </c>
      <c r="J264" s="8">
        <f>IF(OR(A264="",I264=""),"",IF(SUMIFS($I$8:$I$657,$A$8:$A$657,A264)=0,"",I264*SUMIFS('Facturas y gastos'!$D$10:$D$13,'Facturas y gastos'!$A$10:$A$13,A264)/SUMIFS($I$8:$I$657,$A$8:$A$657,A264)))</f>
        <v>110.99997209958188</v>
      </c>
      <c r="K264" s="8">
        <f>IF(J264="","",IF(SUMIFS('Facturas y gastos'!$D$10:$D$13,'Facturas y gastos'!$A$10:$A$13,A264)=0,"",J264*SUMIFS('Facturas y gastos'!$G$10:$G$13,'Facturas y gastos'!$A$10:$A$13,A264)/SUMIFS('Facturas y gastos'!$D$10:$D$13,'Facturas y gastos'!$A$10:$A$13,A264)))</f>
        <v>1.109990234853655</v>
      </c>
      <c r="L264" s="8">
        <f>IF(J264="","",IF(SUMIFS('Facturas y gastos'!$D$10:$D$13,'Facturas y gastos'!$A$10:$A$13,A264)=0,"",J264*SUMIFS('Facturas y gastos'!$H$10:$H$13,'Facturas y gastos'!$A$10:$A$13,A264)/SUMIFS('Facturas y gastos'!$D$10:$D$13,'Facturas y gastos'!$A$10:$A$13,A264)))</f>
        <v>3.3299986049790937</v>
      </c>
      <c r="M264" s="8">
        <f>IF(J264="","",IF(SUMIFS('Facturas y gastos'!$D$10:$D$13,'Facturas y gastos'!$A$10:$A$13,A264)=0,"",J264*SUMIFS('Facturas y gastos'!$I$10:$I$13,'Facturas y gastos'!$A$10:$A$13,A264)/SUMIFS('Facturas y gastos'!$D$10:$D$13,'Facturas y gastos'!$A$10:$A$13,A264)))</f>
        <v>22.041330322099022</v>
      </c>
      <c r="N264" s="8">
        <f>IF(J264="","",IF(SUMIFS('Facturas y gastos'!$D$10:$D$13,'Facturas y gastos'!$A$10:$A$13,A264)=0,"",J264*SUMIFS('Facturas y gastos'!$J$10:$J$13,'Facturas y gastos'!$A$10:$A$13,A264)/SUMIFS('Facturas y gastos'!$D$10:$D$13,'Facturas y gastos'!$A$10:$A$13,A264)))</f>
        <v>0</v>
      </c>
      <c r="O264" s="8">
        <f t="shared" ref="O264:O327" si="8">IF(J264="","",J264-K264+L264+M264+N264)</f>
        <v>135.26131079180635</v>
      </c>
      <c r="P264" s="8" t="str">
        <f>IF(OR(O264="",'Facturas y gastos'!$B$24="",'Facturas y gastos'!$B$45&lt;&gt;"OK",SUM($O$8:$O$657)=0),"",O264*'Facturas y gastos'!$B$43/SUM($O$8:$O$657))</f>
        <v/>
      </c>
      <c r="Q264" s="8" t="str">
        <f>IF(OR(O264="",'Facturas y gastos'!$B$5="",P264=""),"",O264*'Facturas y gastos'!$B$5+P264)</f>
        <v/>
      </c>
      <c r="R264" s="8" t="str">
        <f t="shared" ref="R264:R327" si="9">IF(OR(Q264="",F264="",F264=0),"",Q264/F264)</f>
        <v/>
      </c>
    </row>
    <row r="265" spans="1:18">
      <c r="A265" s="25" t="s">
        <v>61</v>
      </c>
      <c r="B265" s="25">
        <v>20</v>
      </c>
      <c r="C265" s="25" t="s">
        <v>412</v>
      </c>
      <c r="D265" s="25" t="s">
        <v>137</v>
      </c>
      <c r="E265" s="25" t="s">
        <v>108</v>
      </c>
      <c r="F265" s="27">
        <v>250</v>
      </c>
      <c r="G265" s="27">
        <v>5</v>
      </c>
      <c r="H265" s="29">
        <v>0.4</v>
      </c>
      <c r="I265" s="29">
        <v>100</v>
      </c>
      <c r="J265" s="8">
        <f>IF(OR(A265="",I265=""),"",IF(SUMIFS($I$8:$I$657,$A$8:$A$657,A265)=0,"",I265*SUMIFS('Facturas y gastos'!$D$10:$D$13,'Facturas y gastos'!$A$10:$A$13,A265)/SUMIFS($I$8:$I$657,$A$8:$A$657,A265)))</f>
        <v>99.999974864488181</v>
      </c>
      <c r="K265" s="8">
        <f>IF(J265="","",IF(SUMIFS('Facturas y gastos'!$D$10:$D$13,'Facturas y gastos'!$A$10:$A$13,A265)=0,"",J265*SUMIFS('Facturas y gastos'!$G$10:$G$13,'Facturas y gastos'!$A$10:$A$13,A265)/SUMIFS('Facturas y gastos'!$D$10:$D$13,'Facturas y gastos'!$A$10:$A$13,A265)))</f>
        <v>0.99999120257086038</v>
      </c>
      <c r="L265" s="8">
        <f>IF(J265="","",IF(SUMIFS('Facturas y gastos'!$D$10:$D$13,'Facturas y gastos'!$A$10:$A$13,A265)=0,"",J265*SUMIFS('Facturas y gastos'!$H$10:$H$13,'Facturas y gastos'!$A$10:$A$13,A265)/SUMIFS('Facturas y gastos'!$D$10:$D$13,'Facturas y gastos'!$A$10:$A$13,A265)))</f>
        <v>2.9999987432244088</v>
      </c>
      <c r="M265" s="8">
        <f>IF(J265="","",IF(SUMIFS('Facturas y gastos'!$D$10:$D$13,'Facturas y gastos'!$A$10:$A$13,A265)=0,"",J265*SUMIFS('Facturas y gastos'!$I$10:$I$13,'Facturas y gastos'!$A$10:$A$13,A265)/SUMIFS('Facturas y gastos'!$D$10:$D$13,'Facturas y gastos'!$A$10:$A$13,A265)))</f>
        <v>19.857054344233354</v>
      </c>
      <c r="N265" s="8">
        <f>IF(J265="","",IF(SUMIFS('Facturas y gastos'!$D$10:$D$13,'Facturas y gastos'!$A$10:$A$13,A265)=0,"",J265*SUMIFS('Facturas y gastos'!$J$10:$J$13,'Facturas y gastos'!$A$10:$A$13,A265)/SUMIFS('Facturas y gastos'!$D$10:$D$13,'Facturas y gastos'!$A$10:$A$13,A265)))</f>
        <v>0</v>
      </c>
      <c r="O265" s="8">
        <f t="shared" si="8"/>
        <v>121.85703674937508</v>
      </c>
      <c r="P265" s="8" t="str">
        <f>IF(OR(O265="",'Facturas y gastos'!$B$24="",'Facturas y gastos'!$B$45&lt;&gt;"OK",SUM($O$8:$O$657)=0),"",O265*'Facturas y gastos'!$B$43/SUM($O$8:$O$657))</f>
        <v/>
      </c>
      <c r="Q265" s="8" t="str">
        <f>IF(OR(O265="",'Facturas y gastos'!$B$5="",P265=""),"",O265*'Facturas y gastos'!$B$5+P265)</f>
        <v/>
      </c>
      <c r="R265" s="8" t="str">
        <f t="shared" si="9"/>
        <v/>
      </c>
    </row>
    <row r="266" spans="1:18">
      <c r="A266" s="25" t="s">
        <v>61</v>
      </c>
      <c r="B266" s="25">
        <v>21</v>
      </c>
      <c r="C266" s="25" t="s">
        <v>413</v>
      </c>
      <c r="D266" s="25" t="s">
        <v>137</v>
      </c>
      <c r="E266" s="25" t="s">
        <v>108</v>
      </c>
      <c r="F266" s="27">
        <v>60</v>
      </c>
      <c r="G266" s="27">
        <v>3</v>
      </c>
      <c r="H266" s="29">
        <v>1.19</v>
      </c>
      <c r="I266" s="29">
        <v>71.400000000000006</v>
      </c>
      <c r="J266" s="8">
        <f>IF(OR(A266="",I266=""),"",IF(SUMIFS($I$8:$I$657,$A$8:$A$657,A266)=0,"",I266*SUMIFS('Facturas y gastos'!$D$10:$D$13,'Facturas y gastos'!$A$10:$A$13,A266)/SUMIFS($I$8:$I$657,$A$8:$A$657,A266)))</f>
        <v>71.399982053244571</v>
      </c>
      <c r="K266" s="8">
        <f>IF(J266="","",IF(SUMIFS('Facturas y gastos'!$D$10:$D$13,'Facturas y gastos'!$A$10:$A$13,A266)=0,"",J266*SUMIFS('Facturas y gastos'!$G$10:$G$13,'Facturas y gastos'!$A$10:$A$13,A266)/SUMIFS('Facturas y gastos'!$D$10:$D$13,'Facturas y gastos'!$A$10:$A$13,A266)))</f>
        <v>0.71399371863559424</v>
      </c>
      <c r="L266" s="8">
        <f>IF(J266="","",IF(SUMIFS('Facturas y gastos'!$D$10:$D$13,'Facturas y gastos'!$A$10:$A$13,A266)=0,"",J266*SUMIFS('Facturas y gastos'!$H$10:$H$13,'Facturas y gastos'!$A$10:$A$13,A266)/SUMIFS('Facturas y gastos'!$D$10:$D$13,'Facturas y gastos'!$A$10:$A$13,A266)))</f>
        <v>2.1419991026622283</v>
      </c>
      <c r="M266" s="8">
        <f>IF(J266="","",IF(SUMIFS('Facturas y gastos'!$D$10:$D$13,'Facturas y gastos'!$A$10:$A$13,A266)=0,"",J266*SUMIFS('Facturas y gastos'!$I$10:$I$13,'Facturas y gastos'!$A$10:$A$13,A266)/SUMIFS('Facturas y gastos'!$D$10:$D$13,'Facturas y gastos'!$A$10:$A$13,A266)))</f>
        <v>14.177936801782614</v>
      </c>
      <c r="N266" s="8">
        <f>IF(J266="","",IF(SUMIFS('Facturas y gastos'!$D$10:$D$13,'Facturas y gastos'!$A$10:$A$13,A266)=0,"",J266*SUMIFS('Facturas y gastos'!$J$10:$J$13,'Facturas y gastos'!$A$10:$A$13,A266)/SUMIFS('Facturas y gastos'!$D$10:$D$13,'Facturas y gastos'!$A$10:$A$13,A266)))</f>
        <v>0</v>
      </c>
      <c r="O266" s="8">
        <f t="shared" si="8"/>
        <v>87.005924239053826</v>
      </c>
      <c r="P266" s="8" t="str">
        <f>IF(OR(O266="",'Facturas y gastos'!$B$24="",'Facturas y gastos'!$B$45&lt;&gt;"OK",SUM($O$8:$O$657)=0),"",O266*'Facturas y gastos'!$B$43/SUM($O$8:$O$657))</f>
        <v/>
      </c>
      <c r="Q266" s="8" t="str">
        <f>IF(OR(O266="",'Facturas y gastos'!$B$5="",P266=""),"",O266*'Facturas y gastos'!$B$5+P266)</f>
        <v/>
      </c>
      <c r="R266" s="8" t="str">
        <f t="shared" si="9"/>
        <v/>
      </c>
    </row>
    <row r="267" spans="1:18">
      <c r="A267" s="25" t="s">
        <v>61</v>
      </c>
      <c r="B267" s="25">
        <v>22</v>
      </c>
      <c r="C267" s="25" t="s">
        <v>414</v>
      </c>
      <c r="D267" s="25" t="s">
        <v>137</v>
      </c>
      <c r="E267" s="25" t="s">
        <v>108</v>
      </c>
      <c r="F267" s="27">
        <v>250</v>
      </c>
      <c r="G267" s="27">
        <v>5</v>
      </c>
      <c r="H267" s="29">
        <v>0.4</v>
      </c>
      <c r="I267" s="29">
        <v>100</v>
      </c>
      <c r="J267" s="8">
        <f>IF(OR(A267="",I267=""),"",IF(SUMIFS($I$8:$I$657,$A$8:$A$657,A267)=0,"",I267*SUMIFS('Facturas y gastos'!$D$10:$D$13,'Facturas y gastos'!$A$10:$A$13,A267)/SUMIFS($I$8:$I$657,$A$8:$A$657,A267)))</f>
        <v>99.999974864488181</v>
      </c>
      <c r="K267" s="8">
        <f>IF(J267="","",IF(SUMIFS('Facturas y gastos'!$D$10:$D$13,'Facturas y gastos'!$A$10:$A$13,A267)=0,"",J267*SUMIFS('Facturas y gastos'!$G$10:$G$13,'Facturas y gastos'!$A$10:$A$13,A267)/SUMIFS('Facturas y gastos'!$D$10:$D$13,'Facturas y gastos'!$A$10:$A$13,A267)))</f>
        <v>0.99999120257086038</v>
      </c>
      <c r="L267" s="8">
        <f>IF(J267="","",IF(SUMIFS('Facturas y gastos'!$D$10:$D$13,'Facturas y gastos'!$A$10:$A$13,A267)=0,"",J267*SUMIFS('Facturas y gastos'!$H$10:$H$13,'Facturas y gastos'!$A$10:$A$13,A267)/SUMIFS('Facturas y gastos'!$D$10:$D$13,'Facturas y gastos'!$A$10:$A$13,A267)))</f>
        <v>2.9999987432244088</v>
      </c>
      <c r="M267" s="8">
        <f>IF(J267="","",IF(SUMIFS('Facturas y gastos'!$D$10:$D$13,'Facturas y gastos'!$A$10:$A$13,A267)=0,"",J267*SUMIFS('Facturas y gastos'!$I$10:$I$13,'Facturas y gastos'!$A$10:$A$13,A267)/SUMIFS('Facturas y gastos'!$D$10:$D$13,'Facturas y gastos'!$A$10:$A$13,A267)))</f>
        <v>19.857054344233354</v>
      </c>
      <c r="N267" s="8">
        <f>IF(J267="","",IF(SUMIFS('Facturas y gastos'!$D$10:$D$13,'Facturas y gastos'!$A$10:$A$13,A267)=0,"",J267*SUMIFS('Facturas y gastos'!$J$10:$J$13,'Facturas y gastos'!$A$10:$A$13,A267)/SUMIFS('Facturas y gastos'!$D$10:$D$13,'Facturas y gastos'!$A$10:$A$13,A267)))</f>
        <v>0</v>
      </c>
      <c r="O267" s="8">
        <f t="shared" si="8"/>
        <v>121.85703674937508</v>
      </c>
      <c r="P267" s="8" t="str">
        <f>IF(OR(O267="",'Facturas y gastos'!$B$24="",'Facturas y gastos'!$B$45&lt;&gt;"OK",SUM($O$8:$O$657)=0),"",O267*'Facturas y gastos'!$B$43/SUM($O$8:$O$657))</f>
        <v/>
      </c>
      <c r="Q267" s="8" t="str">
        <f>IF(OR(O267="",'Facturas y gastos'!$B$5="",P267=""),"",O267*'Facturas y gastos'!$B$5+P267)</f>
        <v/>
      </c>
      <c r="R267" s="8" t="str">
        <f t="shared" si="9"/>
        <v/>
      </c>
    </row>
    <row r="268" spans="1:18">
      <c r="A268" s="25" t="s">
        <v>61</v>
      </c>
      <c r="B268" s="25">
        <v>23</v>
      </c>
      <c r="C268" s="25" t="s">
        <v>415</v>
      </c>
      <c r="D268" s="25" t="s">
        <v>137</v>
      </c>
      <c r="E268" s="25" t="s">
        <v>108</v>
      </c>
      <c r="F268" s="27">
        <v>48</v>
      </c>
      <c r="G268" s="27">
        <v>3</v>
      </c>
      <c r="H268" s="29">
        <v>1.59</v>
      </c>
      <c r="I268" s="29">
        <v>76.319999999999993</v>
      </c>
      <c r="J268" s="8">
        <f>IF(OR(A268="",I268=""),"",IF(SUMIFS($I$8:$I$657,$A$8:$A$657,A268)=0,"",I268*SUMIFS('Facturas y gastos'!$D$10:$D$13,'Facturas y gastos'!$A$10:$A$13,A268)/SUMIFS($I$8:$I$657,$A$8:$A$657,A268)))</f>
        <v>76.31998081657737</v>
      </c>
      <c r="K268" s="8">
        <f>IF(J268="","",IF(SUMIFS('Facturas y gastos'!$D$10:$D$13,'Facturas y gastos'!$A$10:$A$13,A268)=0,"",J268*SUMIFS('Facturas y gastos'!$G$10:$G$13,'Facturas y gastos'!$A$10:$A$13,A268)/SUMIFS('Facturas y gastos'!$D$10:$D$13,'Facturas y gastos'!$A$10:$A$13,A268)))</f>
        <v>0.76319328580208046</v>
      </c>
      <c r="L268" s="8">
        <f>IF(J268="","",IF(SUMIFS('Facturas y gastos'!$D$10:$D$13,'Facturas y gastos'!$A$10:$A$13,A268)=0,"",J268*SUMIFS('Facturas y gastos'!$H$10:$H$13,'Facturas y gastos'!$A$10:$A$13,A268)/SUMIFS('Facturas y gastos'!$D$10:$D$13,'Facturas y gastos'!$A$10:$A$13,A268)))</f>
        <v>2.2895990408288687</v>
      </c>
      <c r="M268" s="8">
        <f>IF(J268="","",IF(SUMIFS('Facturas y gastos'!$D$10:$D$13,'Facturas y gastos'!$A$10:$A$13,A268)=0,"",J268*SUMIFS('Facturas y gastos'!$I$10:$I$13,'Facturas y gastos'!$A$10:$A$13,A268)/SUMIFS('Facturas y gastos'!$D$10:$D$13,'Facturas y gastos'!$A$10:$A$13,A268)))</f>
        <v>15.15490387551889</v>
      </c>
      <c r="N268" s="8">
        <f>IF(J268="","",IF(SUMIFS('Facturas y gastos'!$D$10:$D$13,'Facturas y gastos'!$A$10:$A$13,A268)=0,"",J268*SUMIFS('Facturas y gastos'!$J$10:$J$13,'Facturas y gastos'!$A$10:$A$13,A268)/SUMIFS('Facturas y gastos'!$D$10:$D$13,'Facturas y gastos'!$A$10:$A$13,A268)))</f>
        <v>0</v>
      </c>
      <c r="O268" s="8">
        <f t="shared" si="8"/>
        <v>93.001290447123068</v>
      </c>
      <c r="P268" s="8" t="str">
        <f>IF(OR(O268="",'Facturas y gastos'!$B$24="",'Facturas y gastos'!$B$45&lt;&gt;"OK",SUM($O$8:$O$657)=0),"",O268*'Facturas y gastos'!$B$43/SUM($O$8:$O$657))</f>
        <v/>
      </c>
      <c r="Q268" s="8" t="str">
        <f>IF(OR(O268="",'Facturas y gastos'!$B$5="",P268=""),"",O268*'Facturas y gastos'!$B$5+P268)</f>
        <v/>
      </c>
      <c r="R268" s="8" t="str">
        <f t="shared" si="9"/>
        <v/>
      </c>
    </row>
    <row r="269" spans="1:18">
      <c r="A269" s="25" t="s">
        <v>61</v>
      </c>
      <c r="B269" s="25">
        <v>24</v>
      </c>
      <c r="C269" s="25" t="s">
        <v>416</v>
      </c>
      <c r="D269" s="25" t="s">
        <v>137</v>
      </c>
      <c r="E269" s="25" t="s">
        <v>108</v>
      </c>
      <c r="F269" s="27">
        <v>48</v>
      </c>
      <c r="G269" s="27">
        <v>3</v>
      </c>
      <c r="H269" s="29">
        <v>1.57</v>
      </c>
      <c r="I269" s="29">
        <v>75.36</v>
      </c>
      <c r="J269" s="8">
        <f>IF(OR(A269="",I269=""),"",IF(SUMIFS($I$8:$I$657,$A$8:$A$657,A269)=0,"",I269*SUMIFS('Facturas y gastos'!$D$10:$D$13,'Facturas y gastos'!$A$10:$A$13,A269)/SUMIFS($I$8:$I$657,$A$8:$A$657,A269)))</f>
        <v>75.359981057878286</v>
      </c>
      <c r="K269" s="8">
        <f>IF(J269="","",IF(SUMIFS('Facturas y gastos'!$D$10:$D$13,'Facturas y gastos'!$A$10:$A$13,A269)=0,"",J269*SUMIFS('Facturas y gastos'!$G$10:$G$13,'Facturas y gastos'!$A$10:$A$13,A269)/SUMIFS('Facturas y gastos'!$D$10:$D$13,'Facturas y gastos'!$A$10:$A$13,A269)))</f>
        <v>0.75359337025740025</v>
      </c>
      <c r="L269" s="8">
        <f>IF(J269="","",IF(SUMIFS('Facturas y gastos'!$D$10:$D$13,'Facturas y gastos'!$A$10:$A$13,A269)=0,"",J269*SUMIFS('Facturas y gastos'!$H$10:$H$13,'Facturas y gastos'!$A$10:$A$13,A269)/SUMIFS('Facturas y gastos'!$D$10:$D$13,'Facturas y gastos'!$A$10:$A$13,A269)))</f>
        <v>2.2607990528939146</v>
      </c>
      <c r="M269" s="8">
        <f>IF(J269="","",IF(SUMIFS('Facturas y gastos'!$D$10:$D$13,'Facturas y gastos'!$A$10:$A$13,A269)=0,"",J269*SUMIFS('Facturas y gastos'!$I$10:$I$13,'Facturas y gastos'!$A$10:$A$13,A269)/SUMIFS('Facturas y gastos'!$D$10:$D$13,'Facturas y gastos'!$A$10:$A$13,A269)))</f>
        <v>14.964276153814252</v>
      </c>
      <c r="N269" s="8">
        <f>IF(J269="","",IF(SUMIFS('Facturas y gastos'!$D$10:$D$13,'Facturas y gastos'!$A$10:$A$13,A269)=0,"",J269*SUMIFS('Facturas y gastos'!$J$10:$J$13,'Facturas y gastos'!$A$10:$A$13,A269)/SUMIFS('Facturas y gastos'!$D$10:$D$13,'Facturas y gastos'!$A$10:$A$13,A269)))</f>
        <v>0</v>
      </c>
      <c r="O269" s="8">
        <f t="shared" si="8"/>
        <v>91.83146289432905</v>
      </c>
      <c r="P269" s="8" t="str">
        <f>IF(OR(O269="",'Facturas y gastos'!$B$24="",'Facturas y gastos'!$B$45&lt;&gt;"OK",SUM($O$8:$O$657)=0),"",O269*'Facturas y gastos'!$B$43/SUM($O$8:$O$657))</f>
        <v/>
      </c>
      <c r="Q269" s="8" t="str">
        <f>IF(OR(O269="",'Facturas y gastos'!$B$5="",P269=""),"",O269*'Facturas y gastos'!$B$5+P269)</f>
        <v/>
      </c>
      <c r="R269" s="8" t="str">
        <f t="shared" si="9"/>
        <v/>
      </c>
    </row>
    <row r="270" spans="1:18">
      <c r="A270" s="25" t="s">
        <v>61</v>
      </c>
      <c r="B270" s="25">
        <v>25</v>
      </c>
      <c r="C270" s="25" t="s">
        <v>417</v>
      </c>
      <c r="D270" s="25" t="s">
        <v>394</v>
      </c>
      <c r="E270" s="25" t="s">
        <v>108</v>
      </c>
      <c r="F270" s="27">
        <v>240</v>
      </c>
      <c r="G270" s="27">
        <v>3</v>
      </c>
      <c r="H270" s="29">
        <v>0.49</v>
      </c>
      <c r="I270" s="29">
        <v>117.6</v>
      </c>
      <c r="J270" s="8">
        <f>IF(OR(A270="",I270=""),"",IF(SUMIFS($I$8:$I$657,$A$8:$A$657,A270)=0,"",I270*SUMIFS('Facturas y gastos'!$D$10:$D$13,'Facturas y gastos'!$A$10:$A$13,A270)/SUMIFS($I$8:$I$657,$A$8:$A$657,A270)))</f>
        <v>117.5999704406381</v>
      </c>
      <c r="K270" s="8">
        <f>IF(J270="","",IF(SUMIFS('Facturas y gastos'!$D$10:$D$13,'Facturas y gastos'!$A$10:$A$13,A270)=0,"",J270*SUMIFS('Facturas y gastos'!$G$10:$G$13,'Facturas y gastos'!$A$10:$A$13,A270)/SUMIFS('Facturas y gastos'!$D$10:$D$13,'Facturas y gastos'!$A$10:$A$13,A270)))</f>
        <v>1.1759896542233317</v>
      </c>
      <c r="L270" s="8">
        <f>IF(J270="","",IF(SUMIFS('Facturas y gastos'!$D$10:$D$13,'Facturas y gastos'!$A$10:$A$13,A270)=0,"",J270*SUMIFS('Facturas y gastos'!$H$10:$H$13,'Facturas y gastos'!$A$10:$A$13,A270)/SUMIFS('Facturas y gastos'!$D$10:$D$13,'Facturas y gastos'!$A$10:$A$13,A270)))</f>
        <v>3.5279985220319054</v>
      </c>
      <c r="M270" s="8">
        <f>IF(J270="","",IF(SUMIFS('Facturas y gastos'!$D$10:$D$13,'Facturas y gastos'!$A$10:$A$13,A270)=0,"",J270*SUMIFS('Facturas y gastos'!$I$10:$I$13,'Facturas y gastos'!$A$10:$A$13,A270)/SUMIFS('Facturas y gastos'!$D$10:$D$13,'Facturas y gastos'!$A$10:$A$13,A270)))</f>
        <v>23.35189590881842</v>
      </c>
      <c r="N270" s="8">
        <f>IF(J270="","",IF(SUMIFS('Facturas y gastos'!$D$10:$D$13,'Facturas y gastos'!$A$10:$A$13,A270)=0,"",J270*SUMIFS('Facturas y gastos'!$J$10:$J$13,'Facturas y gastos'!$A$10:$A$13,A270)/SUMIFS('Facturas y gastos'!$D$10:$D$13,'Facturas y gastos'!$A$10:$A$13,A270)))</f>
        <v>0</v>
      </c>
      <c r="O270" s="8">
        <f t="shared" si="8"/>
        <v>143.3038752172651</v>
      </c>
      <c r="P270" s="8" t="str">
        <f>IF(OR(O270="",'Facturas y gastos'!$B$24="",'Facturas y gastos'!$B$45&lt;&gt;"OK",SUM($O$8:$O$657)=0),"",O270*'Facturas y gastos'!$B$43/SUM($O$8:$O$657))</f>
        <v/>
      </c>
      <c r="Q270" s="8" t="str">
        <f>IF(OR(O270="",'Facturas y gastos'!$B$5="",P270=""),"",O270*'Facturas y gastos'!$B$5+P270)</f>
        <v/>
      </c>
      <c r="R270" s="8" t="str">
        <f t="shared" si="9"/>
        <v/>
      </c>
    </row>
    <row r="271" spans="1:18">
      <c r="A271" s="25" t="s">
        <v>61</v>
      </c>
      <c r="B271" s="25">
        <v>26</v>
      </c>
      <c r="C271" s="25" t="s">
        <v>418</v>
      </c>
      <c r="D271" s="25" t="s">
        <v>394</v>
      </c>
      <c r="E271" s="25" t="s">
        <v>108</v>
      </c>
      <c r="F271" s="27">
        <v>250</v>
      </c>
      <c r="G271" s="27">
        <v>5</v>
      </c>
      <c r="H271" s="29">
        <v>0.72</v>
      </c>
      <c r="I271" s="29">
        <v>180</v>
      </c>
      <c r="J271" s="8">
        <f>IF(OR(A271="",I271=""),"",IF(SUMIFS($I$8:$I$657,$A$8:$A$657,A271)=0,"",I271*SUMIFS('Facturas y gastos'!$D$10:$D$13,'Facturas y gastos'!$A$10:$A$13,A271)/SUMIFS($I$8:$I$657,$A$8:$A$657,A271)))</f>
        <v>179.99995475607872</v>
      </c>
      <c r="K271" s="8">
        <f>IF(J271="","",IF(SUMIFS('Facturas y gastos'!$D$10:$D$13,'Facturas y gastos'!$A$10:$A$13,A271)=0,"",J271*SUMIFS('Facturas y gastos'!$G$10:$G$13,'Facturas y gastos'!$A$10:$A$13,A271)/SUMIFS('Facturas y gastos'!$D$10:$D$13,'Facturas y gastos'!$A$10:$A$13,A271)))</f>
        <v>1.7999841646275485</v>
      </c>
      <c r="L271" s="8">
        <f>IF(J271="","",IF(SUMIFS('Facturas y gastos'!$D$10:$D$13,'Facturas y gastos'!$A$10:$A$13,A271)=0,"",J271*SUMIFS('Facturas y gastos'!$H$10:$H$13,'Facturas y gastos'!$A$10:$A$13,A271)/SUMIFS('Facturas y gastos'!$D$10:$D$13,'Facturas y gastos'!$A$10:$A$13,A271)))</f>
        <v>5.3999977378039361</v>
      </c>
      <c r="M271" s="8">
        <f>IF(J271="","",IF(SUMIFS('Facturas y gastos'!$D$10:$D$13,'Facturas y gastos'!$A$10:$A$13,A271)=0,"",J271*SUMIFS('Facturas y gastos'!$I$10:$I$13,'Facturas y gastos'!$A$10:$A$13,A271)/SUMIFS('Facturas y gastos'!$D$10:$D$13,'Facturas y gastos'!$A$10:$A$13,A271)))</f>
        <v>35.742697819620027</v>
      </c>
      <c r="N271" s="8">
        <f>IF(J271="","",IF(SUMIFS('Facturas y gastos'!$D$10:$D$13,'Facturas y gastos'!$A$10:$A$13,A271)=0,"",J271*SUMIFS('Facturas y gastos'!$J$10:$J$13,'Facturas y gastos'!$A$10:$A$13,A271)/SUMIFS('Facturas y gastos'!$D$10:$D$13,'Facturas y gastos'!$A$10:$A$13,A271)))</f>
        <v>0</v>
      </c>
      <c r="O271" s="8">
        <f t="shared" si="8"/>
        <v>219.34266614887514</v>
      </c>
      <c r="P271" s="8" t="str">
        <f>IF(OR(O271="",'Facturas y gastos'!$B$24="",'Facturas y gastos'!$B$45&lt;&gt;"OK",SUM($O$8:$O$657)=0),"",O271*'Facturas y gastos'!$B$43/SUM($O$8:$O$657))</f>
        <v/>
      </c>
      <c r="Q271" s="8" t="str">
        <f>IF(OR(O271="",'Facturas y gastos'!$B$5="",P271=""),"",O271*'Facturas y gastos'!$B$5+P271)</f>
        <v/>
      </c>
      <c r="R271" s="8" t="str">
        <f t="shared" si="9"/>
        <v/>
      </c>
    </row>
    <row r="272" spans="1:18">
      <c r="A272" s="25" t="s">
        <v>61</v>
      </c>
      <c r="B272" s="25">
        <v>27</v>
      </c>
      <c r="C272" s="25" t="s">
        <v>419</v>
      </c>
      <c r="D272" s="25" t="s">
        <v>137</v>
      </c>
      <c r="E272" s="25" t="s">
        <v>108</v>
      </c>
      <c r="F272" s="27">
        <v>360</v>
      </c>
      <c r="G272" s="27">
        <v>3</v>
      </c>
      <c r="H272" s="29">
        <v>0.37</v>
      </c>
      <c r="I272" s="29">
        <v>133.19999999999999</v>
      </c>
      <c r="J272" s="8">
        <f>IF(OR(A272="",I272=""),"",IF(SUMIFS($I$8:$I$657,$A$8:$A$657,A272)=0,"",I272*SUMIFS('Facturas y gastos'!$D$10:$D$13,'Facturas y gastos'!$A$10:$A$13,A272)/SUMIFS($I$8:$I$657,$A$8:$A$657,A272)))</f>
        <v>133.19996651949828</v>
      </c>
      <c r="K272" s="8">
        <f>IF(J272="","",IF(SUMIFS('Facturas y gastos'!$D$10:$D$13,'Facturas y gastos'!$A$10:$A$13,A272)=0,"",J272*SUMIFS('Facturas y gastos'!$G$10:$G$13,'Facturas y gastos'!$A$10:$A$13,A272)/SUMIFS('Facturas y gastos'!$D$10:$D$13,'Facturas y gastos'!$A$10:$A$13,A272)))</f>
        <v>1.331988281824386</v>
      </c>
      <c r="L272" s="8">
        <f>IF(J272="","",IF(SUMIFS('Facturas y gastos'!$D$10:$D$13,'Facturas y gastos'!$A$10:$A$13,A272)=0,"",J272*SUMIFS('Facturas y gastos'!$H$10:$H$13,'Facturas y gastos'!$A$10:$A$13,A272)/SUMIFS('Facturas y gastos'!$D$10:$D$13,'Facturas y gastos'!$A$10:$A$13,A272)))</f>
        <v>3.9959983259749134</v>
      </c>
      <c r="M272" s="8">
        <f>IF(J272="","",IF(SUMIFS('Facturas y gastos'!$D$10:$D$13,'Facturas y gastos'!$A$10:$A$13,A272)=0,"",J272*SUMIFS('Facturas y gastos'!$I$10:$I$13,'Facturas y gastos'!$A$10:$A$13,A272)/SUMIFS('Facturas y gastos'!$D$10:$D$13,'Facturas y gastos'!$A$10:$A$13,A272)))</f>
        <v>26.449596386518827</v>
      </c>
      <c r="N272" s="8">
        <f>IF(J272="","",IF(SUMIFS('Facturas y gastos'!$D$10:$D$13,'Facturas y gastos'!$A$10:$A$13,A272)=0,"",J272*SUMIFS('Facturas y gastos'!$J$10:$J$13,'Facturas y gastos'!$A$10:$A$13,A272)/SUMIFS('Facturas y gastos'!$D$10:$D$13,'Facturas y gastos'!$A$10:$A$13,A272)))</f>
        <v>0</v>
      </c>
      <c r="O272" s="8">
        <f t="shared" si="8"/>
        <v>162.31357295016764</v>
      </c>
      <c r="P272" s="8" t="str">
        <f>IF(OR(O272="",'Facturas y gastos'!$B$24="",'Facturas y gastos'!$B$45&lt;&gt;"OK",SUM($O$8:$O$657)=0),"",O272*'Facturas y gastos'!$B$43/SUM($O$8:$O$657))</f>
        <v/>
      </c>
      <c r="Q272" s="8" t="str">
        <f>IF(OR(O272="",'Facturas y gastos'!$B$5="",P272=""),"",O272*'Facturas y gastos'!$B$5+P272)</f>
        <v/>
      </c>
      <c r="R272" s="8" t="str">
        <f t="shared" si="9"/>
        <v/>
      </c>
    </row>
    <row r="273" spans="1:18">
      <c r="A273" s="25" t="s">
        <v>61</v>
      </c>
      <c r="B273" s="25">
        <v>28</v>
      </c>
      <c r="C273" s="25" t="s">
        <v>420</v>
      </c>
      <c r="D273" s="25" t="s">
        <v>137</v>
      </c>
      <c r="E273" s="25" t="s">
        <v>108</v>
      </c>
      <c r="F273" s="27">
        <v>400</v>
      </c>
      <c r="G273" s="27">
        <v>5</v>
      </c>
      <c r="H273" s="29">
        <v>0.48</v>
      </c>
      <c r="I273" s="29">
        <v>192</v>
      </c>
      <c r="J273" s="8">
        <f>IF(OR(A273="",I273=""),"",IF(SUMIFS($I$8:$I$657,$A$8:$A$657,A273)=0,"",I273*SUMIFS('Facturas y gastos'!$D$10:$D$13,'Facturas y gastos'!$A$10:$A$13,A273)/SUMIFS($I$8:$I$657,$A$8:$A$657,A273)))</f>
        <v>191.99995173981731</v>
      </c>
      <c r="K273" s="8">
        <f>IF(J273="","",IF(SUMIFS('Facturas y gastos'!$D$10:$D$13,'Facturas y gastos'!$A$10:$A$13,A273)=0,"",J273*SUMIFS('Facturas y gastos'!$G$10:$G$13,'Facturas y gastos'!$A$10:$A$13,A273)/SUMIFS('Facturas y gastos'!$D$10:$D$13,'Facturas y gastos'!$A$10:$A$13,A273)))</f>
        <v>1.9199831089360515</v>
      </c>
      <c r="L273" s="8">
        <f>IF(J273="","",IF(SUMIFS('Facturas y gastos'!$D$10:$D$13,'Facturas y gastos'!$A$10:$A$13,A273)=0,"",J273*SUMIFS('Facturas y gastos'!$H$10:$H$13,'Facturas y gastos'!$A$10:$A$13,A273)/SUMIFS('Facturas y gastos'!$D$10:$D$13,'Facturas y gastos'!$A$10:$A$13,A273)))</f>
        <v>5.7599975869908651</v>
      </c>
      <c r="M273" s="8">
        <f>IF(J273="","",IF(SUMIFS('Facturas y gastos'!$D$10:$D$13,'Facturas y gastos'!$A$10:$A$13,A273)=0,"",J273*SUMIFS('Facturas y gastos'!$I$10:$I$13,'Facturas y gastos'!$A$10:$A$13,A273)/SUMIFS('Facturas y gastos'!$D$10:$D$13,'Facturas y gastos'!$A$10:$A$13,A273)))</f>
        <v>38.125544340928037</v>
      </c>
      <c r="N273" s="8">
        <f>IF(J273="","",IF(SUMIFS('Facturas y gastos'!$D$10:$D$13,'Facturas y gastos'!$A$10:$A$13,A273)=0,"",J273*SUMIFS('Facturas y gastos'!$J$10:$J$13,'Facturas y gastos'!$A$10:$A$13,A273)/SUMIFS('Facturas y gastos'!$D$10:$D$13,'Facturas y gastos'!$A$10:$A$13,A273)))</f>
        <v>0</v>
      </c>
      <c r="O273" s="8">
        <f t="shared" si="8"/>
        <v>233.96551055880013</v>
      </c>
      <c r="P273" s="8" t="str">
        <f>IF(OR(O273="",'Facturas y gastos'!$B$24="",'Facturas y gastos'!$B$45&lt;&gt;"OK",SUM($O$8:$O$657)=0),"",O273*'Facturas y gastos'!$B$43/SUM($O$8:$O$657))</f>
        <v/>
      </c>
      <c r="Q273" s="8" t="str">
        <f>IF(OR(O273="",'Facturas y gastos'!$B$5="",P273=""),"",O273*'Facturas y gastos'!$B$5+P273)</f>
        <v/>
      </c>
      <c r="R273" s="8" t="str">
        <f t="shared" si="9"/>
        <v/>
      </c>
    </row>
    <row r="274" spans="1:18">
      <c r="A274" s="25" t="s">
        <v>61</v>
      </c>
      <c r="B274" s="25">
        <v>29</v>
      </c>
      <c r="C274" s="25" t="s">
        <v>421</v>
      </c>
      <c r="D274" s="25" t="s">
        <v>137</v>
      </c>
      <c r="E274" s="25" t="s">
        <v>108</v>
      </c>
      <c r="F274" s="27">
        <v>300</v>
      </c>
      <c r="G274" s="27">
        <v>5</v>
      </c>
      <c r="H274" s="29">
        <v>0.6</v>
      </c>
      <c r="I274" s="29">
        <v>180</v>
      </c>
      <c r="J274" s="8">
        <f>IF(OR(A274="",I274=""),"",IF(SUMIFS($I$8:$I$657,$A$8:$A$657,A274)=0,"",I274*SUMIFS('Facturas y gastos'!$D$10:$D$13,'Facturas y gastos'!$A$10:$A$13,A274)/SUMIFS($I$8:$I$657,$A$8:$A$657,A274)))</f>
        <v>179.99995475607872</v>
      </c>
      <c r="K274" s="8">
        <f>IF(J274="","",IF(SUMIFS('Facturas y gastos'!$D$10:$D$13,'Facturas y gastos'!$A$10:$A$13,A274)=0,"",J274*SUMIFS('Facturas y gastos'!$G$10:$G$13,'Facturas y gastos'!$A$10:$A$13,A274)/SUMIFS('Facturas y gastos'!$D$10:$D$13,'Facturas y gastos'!$A$10:$A$13,A274)))</f>
        <v>1.7999841646275485</v>
      </c>
      <c r="L274" s="8">
        <f>IF(J274="","",IF(SUMIFS('Facturas y gastos'!$D$10:$D$13,'Facturas y gastos'!$A$10:$A$13,A274)=0,"",J274*SUMIFS('Facturas y gastos'!$H$10:$H$13,'Facturas y gastos'!$A$10:$A$13,A274)/SUMIFS('Facturas y gastos'!$D$10:$D$13,'Facturas y gastos'!$A$10:$A$13,A274)))</f>
        <v>5.3999977378039361</v>
      </c>
      <c r="M274" s="8">
        <f>IF(J274="","",IF(SUMIFS('Facturas y gastos'!$D$10:$D$13,'Facturas y gastos'!$A$10:$A$13,A274)=0,"",J274*SUMIFS('Facturas y gastos'!$I$10:$I$13,'Facturas y gastos'!$A$10:$A$13,A274)/SUMIFS('Facturas y gastos'!$D$10:$D$13,'Facturas y gastos'!$A$10:$A$13,A274)))</f>
        <v>35.742697819620027</v>
      </c>
      <c r="N274" s="8">
        <f>IF(J274="","",IF(SUMIFS('Facturas y gastos'!$D$10:$D$13,'Facturas y gastos'!$A$10:$A$13,A274)=0,"",J274*SUMIFS('Facturas y gastos'!$J$10:$J$13,'Facturas y gastos'!$A$10:$A$13,A274)/SUMIFS('Facturas y gastos'!$D$10:$D$13,'Facturas y gastos'!$A$10:$A$13,A274)))</f>
        <v>0</v>
      </c>
      <c r="O274" s="8">
        <f t="shared" si="8"/>
        <v>219.34266614887514</v>
      </c>
      <c r="P274" s="8" t="str">
        <f>IF(OR(O274="",'Facturas y gastos'!$B$24="",'Facturas y gastos'!$B$45&lt;&gt;"OK",SUM($O$8:$O$657)=0),"",O274*'Facturas y gastos'!$B$43/SUM($O$8:$O$657))</f>
        <v/>
      </c>
      <c r="Q274" s="8" t="str">
        <f>IF(OR(O274="",'Facturas y gastos'!$B$5="",P274=""),"",O274*'Facturas y gastos'!$B$5+P274)</f>
        <v/>
      </c>
      <c r="R274" s="8" t="str">
        <f t="shared" si="9"/>
        <v/>
      </c>
    </row>
    <row r="275" spans="1:18">
      <c r="A275" s="25" t="s">
        <v>61</v>
      </c>
      <c r="B275" s="25">
        <v>30</v>
      </c>
      <c r="C275" s="25" t="s">
        <v>422</v>
      </c>
      <c r="D275" s="25" t="s">
        <v>137</v>
      </c>
      <c r="E275" s="25" t="s">
        <v>108</v>
      </c>
      <c r="F275" s="27">
        <v>160</v>
      </c>
      <c r="G275" s="27">
        <v>2</v>
      </c>
      <c r="H275" s="29">
        <v>0.67</v>
      </c>
      <c r="I275" s="29">
        <v>107.2</v>
      </c>
      <c r="J275" s="8">
        <f>IF(OR(A275="",I275=""),"",IF(SUMIFS($I$8:$I$657,$A$8:$A$657,A275)=0,"",I275*SUMIFS('Facturas y gastos'!$D$10:$D$13,'Facturas y gastos'!$A$10:$A$13,A275)/SUMIFS($I$8:$I$657,$A$8:$A$657,A275)))</f>
        <v>107.19997305473133</v>
      </c>
      <c r="K275" s="8">
        <f>IF(J275="","",IF(SUMIFS('Facturas y gastos'!$D$10:$D$13,'Facturas y gastos'!$A$10:$A$13,A275)=0,"",J275*SUMIFS('Facturas y gastos'!$G$10:$G$13,'Facturas y gastos'!$A$10:$A$13,A275)/SUMIFS('Facturas y gastos'!$D$10:$D$13,'Facturas y gastos'!$A$10:$A$13,A275)))</f>
        <v>1.0719905691559621</v>
      </c>
      <c r="L275" s="8">
        <f>IF(J275="","",IF(SUMIFS('Facturas y gastos'!$D$10:$D$13,'Facturas y gastos'!$A$10:$A$13,A275)=0,"",J275*SUMIFS('Facturas y gastos'!$H$10:$H$13,'Facturas y gastos'!$A$10:$A$13,A275)/SUMIFS('Facturas y gastos'!$D$10:$D$13,'Facturas y gastos'!$A$10:$A$13,A275)))</f>
        <v>3.2159986527365665</v>
      </c>
      <c r="M275" s="8">
        <f>IF(J275="","",IF(SUMIFS('Facturas y gastos'!$D$10:$D$13,'Facturas y gastos'!$A$10:$A$13,A275)=0,"",J275*SUMIFS('Facturas y gastos'!$I$10:$I$13,'Facturas y gastos'!$A$10:$A$13,A275)/SUMIFS('Facturas y gastos'!$D$10:$D$13,'Facturas y gastos'!$A$10:$A$13,A275)))</f>
        <v>21.286762257018154</v>
      </c>
      <c r="N275" s="8">
        <f>IF(J275="","",IF(SUMIFS('Facturas y gastos'!$D$10:$D$13,'Facturas y gastos'!$A$10:$A$13,A275)=0,"",J275*SUMIFS('Facturas y gastos'!$J$10:$J$13,'Facturas y gastos'!$A$10:$A$13,A275)/SUMIFS('Facturas y gastos'!$D$10:$D$13,'Facturas y gastos'!$A$10:$A$13,A275)))</f>
        <v>0</v>
      </c>
      <c r="O275" s="8">
        <f t="shared" si="8"/>
        <v>130.63074339533011</v>
      </c>
      <c r="P275" s="8" t="str">
        <f>IF(OR(O275="",'Facturas y gastos'!$B$24="",'Facturas y gastos'!$B$45&lt;&gt;"OK",SUM($O$8:$O$657)=0),"",O275*'Facturas y gastos'!$B$43/SUM($O$8:$O$657))</f>
        <v/>
      </c>
      <c r="Q275" s="8" t="str">
        <f>IF(OR(O275="",'Facturas y gastos'!$B$5="",P275=""),"",O275*'Facturas y gastos'!$B$5+P275)</f>
        <v/>
      </c>
      <c r="R275" s="8" t="str">
        <f t="shared" si="9"/>
        <v/>
      </c>
    </row>
    <row r="276" spans="1:18">
      <c r="A276" s="25" t="s">
        <v>61</v>
      </c>
      <c r="B276" s="25">
        <v>31</v>
      </c>
      <c r="C276" s="25" t="s">
        <v>423</v>
      </c>
      <c r="D276" s="25" t="s">
        <v>137</v>
      </c>
      <c r="E276" s="25" t="s">
        <v>108</v>
      </c>
      <c r="F276" s="27">
        <v>150</v>
      </c>
      <c r="G276" s="27">
        <v>5</v>
      </c>
      <c r="H276" s="29">
        <v>0.9</v>
      </c>
      <c r="I276" s="29">
        <v>135</v>
      </c>
      <c r="J276" s="8">
        <f>IF(OR(A276="",I276=""),"",IF(SUMIFS($I$8:$I$657,$A$8:$A$657,A276)=0,"",I276*SUMIFS('Facturas y gastos'!$D$10:$D$13,'Facturas y gastos'!$A$10:$A$13,A276)/SUMIFS($I$8:$I$657,$A$8:$A$657,A276)))</f>
        <v>134.99996606705903</v>
      </c>
      <c r="K276" s="8">
        <f>IF(J276="","",IF(SUMIFS('Facturas y gastos'!$D$10:$D$13,'Facturas y gastos'!$A$10:$A$13,A276)=0,"",J276*SUMIFS('Facturas y gastos'!$G$10:$G$13,'Facturas y gastos'!$A$10:$A$13,A276)/SUMIFS('Facturas y gastos'!$D$10:$D$13,'Facturas y gastos'!$A$10:$A$13,A276)))</f>
        <v>1.3499881234706614</v>
      </c>
      <c r="L276" s="8">
        <f>IF(J276="","",IF(SUMIFS('Facturas y gastos'!$D$10:$D$13,'Facturas y gastos'!$A$10:$A$13,A276)=0,"",J276*SUMIFS('Facturas y gastos'!$H$10:$H$13,'Facturas y gastos'!$A$10:$A$13,A276)/SUMIFS('Facturas y gastos'!$D$10:$D$13,'Facturas y gastos'!$A$10:$A$13,A276)))</f>
        <v>4.0499983033529512</v>
      </c>
      <c r="M276" s="8">
        <f>IF(J276="","",IF(SUMIFS('Facturas y gastos'!$D$10:$D$13,'Facturas y gastos'!$A$10:$A$13,A276)=0,"",J276*SUMIFS('Facturas y gastos'!$I$10:$I$13,'Facturas y gastos'!$A$10:$A$13,A276)/SUMIFS('Facturas y gastos'!$D$10:$D$13,'Facturas y gastos'!$A$10:$A$13,A276)))</f>
        <v>26.807023364715025</v>
      </c>
      <c r="N276" s="8">
        <f>IF(J276="","",IF(SUMIFS('Facturas y gastos'!$D$10:$D$13,'Facturas y gastos'!$A$10:$A$13,A276)=0,"",J276*SUMIFS('Facturas y gastos'!$J$10:$J$13,'Facturas y gastos'!$A$10:$A$13,A276)/SUMIFS('Facturas y gastos'!$D$10:$D$13,'Facturas y gastos'!$A$10:$A$13,A276)))</f>
        <v>0</v>
      </c>
      <c r="O276" s="8">
        <f t="shared" si="8"/>
        <v>164.50699961165637</v>
      </c>
      <c r="P276" s="8" t="str">
        <f>IF(OR(O276="",'Facturas y gastos'!$B$24="",'Facturas y gastos'!$B$45&lt;&gt;"OK",SUM($O$8:$O$657)=0),"",O276*'Facturas y gastos'!$B$43/SUM($O$8:$O$657))</f>
        <v/>
      </c>
      <c r="Q276" s="8" t="str">
        <f>IF(OR(O276="",'Facturas y gastos'!$B$5="",P276=""),"",O276*'Facturas y gastos'!$B$5+P276)</f>
        <v/>
      </c>
      <c r="R276" s="8" t="str">
        <f t="shared" si="9"/>
        <v/>
      </c>
    </row>
    <row r="277" spans="1:18">
      <c r="A277" s="25" t="s">
        <v>61</v>
      </c>
      <c r="B277" s="25">
        <v>32</v>
      </c>
      <c r="C277" s="25" t="s">
        <v>424</v>
      </c>
      <c r="D277" s="25" t="s">
        <v>137</v>
      </c>
      <c r="E277" s="25" t="s">
        <v>108</v>
      </c>
      <c r="F277" s="27">
        <v>200</v>
      </c>
      <c r="G277" s="27">
        <v>10</v>
      </c>
      <c r="H277" s="29">
        <v>1.34</v>
      </c>
      <c r="I277" s="29">
        <v>268</v>
      </c>
      <c r="J277" s="8">
        <f>IF(OR(A277="",I277=""),"",IF(SUMIFS($I$8:$I$657,$A$8:$A$657,A277)=0,"",I277*SUMIFS('Facturas y gastos'!$D$10:$D$13,'Facturas y gastos'!$A$10:$A$13,A277)/SUMIFS($I$8:$I$657,$A$8:$A$657,A277)))</f>
        <v>267.99993263682836</v>
      </c>
      <c r="K277" s="8">
        <f>IF(J277="","",IF(SUMIFS('Facturas y gastos'!$D$10:$D$13,'Facturas y gastos'!$A$10:$A$13,A277)=0,"",J277*SUMIFS('Facturas y gastos'!$G$10:$G$13,'Facturas y gastos'!$A$10:$A$13,A277)/SUMIFS('Facturas y gastos'!$D$10:$D$13,'Facturas y gastos'!$A$10:$A$13,A277)))</f>
        <v>2.6799764228899057</v>
      </c>
      <c r="L277" s="8">
        <f>IF(J277="","",IF(SUMIFS('Facturas y gastos'!$D$10:$D$13,'Facturas y gastos'!$A$10:$A$13,A277)=0,"",J277*SUMIFS('Facturas y gastos'!$H$10:$H$13,'Facturas y gastos'!$A$10:$A$13,A277)/SUMIFS('Facturas y gastos'!$D$10:$D$13,'Facturas y gastos'!$A$10:$A$13,A277)))</f>
        <v>8.0399966318414169</v>
      </c>
      <c r="M277" s="8">
        <f>IF(J277="","",IF(SUMIFS('Facturas y gastos'!$D$10:$D$13,'Facturas y gastos'!$A$10:$A$13,A277)=0,"",J277*SUMIFS('Facturas y gastos'!$I$10:$I$13,'Facturas y gastos'!$A$10:$A$13,A277)/SUMIFS('Facturas y gastos'!$D$10:$D$13,'Facturas y gastos'!$A$10:$A$13,A277)))</f>
        <v>53.216905642545385</v>
      </c>
      <c r="N277" s="8">
        <f>IF(J277="","",IF(SUMIFS('Facturas y gastos'!$D$10:$D$13,'Facturas y gastos'!$A$10:$A$13,A277)=0,"",J277*SUMIFS('Facturas y gastos'!$J$10:$J$13,'Facturas y gastos'!$A$10:$A$13,A277)/SUMIFS('Facturas y gastos'!$D$10:$D$13,'Facturas y gastos'!$A$10:$A$13,A277)))</f>
        <v>0</v>
      </c>
      <c r="O277" s="8">
        <f t="shared" si="8"/>
        <v>326.57685848832523</v>
      </c>
      <c r="P277" s="8" t="str">
        <f>IF(OR(O277="",'Facturas y gastos'!$B$24="",'Facturas y gastos'!$B$45&lt;&gt;"OK",SUM($O$8:$O$657)=0),"",O277*'Facturas y gastos'!$B$43/SUM($O$8:$O$657))</f>
        <v/>
      </c>
      <c r="Q277" s="8" t="str">
        <f>IF(OR(O277="",'Facturas y gastos'!$B$5="",P277=""),"",O277*'Facturas y gastos'!$B$5+P277)</f>
        <v/>
      </c>
      <c r="R277" s="8" t="str">
        <f t="shared" si="9"/>
        <v/>
      </c>
    </row>
    <row r="278" spans="1:18">
      <c r="A278" s="25" t="s">
        <v>61</v>
      </c>
      <c r="B278" s="25">
        <v>33</v>
      </c>
      <c r="C278" s="25" t="s">
        <v>425</v>
      </c>
      <c r="D278" s="25" t="s">
        <v>137</v>
      </c>
      <c r="E278" s="25" t="s">
        <v>108</v>
      </c>
      <c r="F278" s="27">
        <v>240</v>
      </c>
      <c r="G278" s="27">
        <v>3</v>
      </c>
      <c r="H278" s="29">
        <v>0.63</v>
      </c>
      <c r="I278" s="29">
        <v>151.19999999999999</v>
      </c>
      <c r="J278" s="8">
        <f>IF(OR(A278="",I278=""),"",IF(SUMIFS($I$8:$I$657,$A$8:$A$657,A278)=0,"",I278*SUMIFS('Facturas y gastos'!$D$10:$D$13,'Facturas y gastos'!$A$10:$A$13,A278)/SUMIFS($I$8:$I$657,$A$8:$A$657,A278)))</f>
        <v>151.19996199510612</v>
      </c>
      <c r="K278" s="8">
        <f>IF(J278="","",IF(SUMIFS('Facturas y gastos'!$D$10:$D$13,'Facturas y gastos'!$A$10:$A$13,A278)=0,"",J278*SUMIFS('Facturas y gastos'!$G$10:$G$13,'Facturas y gastos'!$A$10:$A$13,A278)/SUMIFS('Facturas y gastos'!$D$10:$D$13,'Facturas y gastos'!$A$10:$A$13,A278)))</f>
        <v>1.5119866982871406</v>
      </c>
      <c r="L278" s="8">
        <f>IF(J278="","",IF(SUMIFS('Facturas y gastos'!$D$10:$D$13,'Facturas y gastos'!$A$10:$A$13,A278)=0,"",J278*SUMIFS('Facturas y gastos'!$H$10:$H$13,'Facturas y gastos'!$A$10:$A$13,A278)/SUMIFS('Facturas y gastos'!$D$10:$D$13,'Facturas y gastos'!$A$10:$A$13,A278)))</f>
        <v>4.5359980997553064</v>
      </c>
      <c r="M278" s="8">
        <f>IF(J278="","",IF(SUMIFS('Facturas y gastos'!$D$10:$D$13,'Facturas y gastos'!$A$10:$A$13,A278)=0,"",J278*SUMIFS('Facturas y gastos'!$I$10:$I$13,'Facturas y gastos'!$A$10:$A$13,A278)/SUMIFS('Facturas y gastos'!$D$10:$D$13,'Facturas y gastos'!$A$10:$A$13,A278)))</f>
        <v>30.023866168480826</v>
      </c>
      <c r="N278" s="8">
        <f>IF(J278="","",IF(SUMIFS('Facturas y gastos'!$D$10:$D$13,'Facturas y gastos'!$A$10:$A$13,A278)=0,"",J278*SUMIFS('Facturas y gastos'!$J$10:$J$13,'Facturas y gastos'!$A$10:$A$13,A278)/SUMIFS('Facturas y gastos'!$D$10:$D$13,'Facturas y gastos'!$A$10:$A$13,A278)))</f>
        <v>0</v>
      </c>
      <c r="O278" s="8">
        <f t="shared" si="8"/>
        <v>184.24783956505513</v>
      </c>
      <c r="P278" s="8" t="str">
        <f>IF(OR(O278="",'Facturas y gastos'!$B$24="",'Facturas y gastos'!$B$45&lt;&gt;"OK",SUM($O$8:$O$657)=0),"",O278*'Facturas y gastos'!$B$43/SUM($O$8:$O$657))</f>
        <v/>
      </c>
      <c r="Q278" s="8" t="str">
        <f>IF(OR(O278="",'Facturas y gastos'!$B$5="",P278=""),"",O278*'Facturas y gastos'!$B$5+P278)</f>
        <v/>
      </c>
      <c r="R278" s="8" t="str">
        <f t="shared" si="9"/>
        <v/>
      </c>
    </row>
    <row r="279" spans="1:18">
      <c r="A279" s="25" t="s">
        <v>61</v>
      </c>
      <c r="B279" s="25">
        <v>34</v>
      </c>
      <c r="C279" s="25" t="s">
        <v>426</v>
      </c>
      <c r="D279" s="25" t="s">
        <v>137</v>
      </c>
      <c r="E279" s="25" t="s">
        <v>108</v>
      </c>
      <c r="F279" s="27">
        <v>288</v>
      </c>
      <c r="G279" s="27">
        <v>8</v>
      </c>
      <c r="H279" s="29">
        <v>0.8</v>
      </c>
      <c r="I279" s="29">
        <v>230.4</v>
      </c>
      <c r="J279" s="8">
        <f>IF(OR(A279="",I279=""),"",IF(SUMIFS($I$8:$I$657,$A$8:$A$657,A279)=0,"",I279*SUMIFS('Facturas y gastos'!$D$10:$D$13,'Facturas y gastos'!$A$10:$A$13,A279)/SUMIFS($I$8:$I$657,$A$8:$A$657,A279)))</f>
        <v>230.39994208778077</v>
      </c>
      <c r="K279" s="8">
        <f>IF(J279="","",IF(SUMIFS('Facturas y gastos'!$D$10:$D$13,'Facturas y gastos'!$A$10:$A$13,A279)=0,"",J279*SUMIFS('Facturas y gastos'!$G$10:$G$13,'Facturas y gastos'!$A$10:$A$13,A279)/SUMIFS('Facturas y gastos'!$D$10:$D$13,'Facturas y gastos'!$A$10:$A$13,A279)))</f>
        <v>2.3039797307232623</v>
      </c>
      <c r="L279" s="8">
        <f>IF(J279="","",IF(SUMIFS('Facturas y gastos'!$D$10:$D$13,'Facturas y gastos'!$A$10:$A$13,A279)=0,"",J279*SUMIFS('Facturas y gastos'!$H$10:$H$13,'Facturas y gastos'!$A$10:$A$13,A279)/SUMIFS('Facturas y gastos'!$D$10:$D$13,'Facturas y gastos'!$A$10:$A$13,A279)))</f>
        <v>6.9119971043890382</v>
      </c>
      <c r="M279" s="8">
        <f>IF(J279="","",IF(SUMIFS('Facturas y gastos'!$D$10:$D$13,'Facturas y gastos'!$A$10:$A$13,A279)=0,"",J279*SUMIFS('Facturas y gastos'!$I$10:$I$13,'Facturas y gastos'!$A$10:$A$13,A279)/SUMIFS('Facturas y gastos'!$D$10:$D$13,'Facturas y gastos'!$A$10:$A$13,A279)))</f>
        <v>45.750653209113644</v>
      </c>
      <c r="N279" s="8">
        <f>IF(J279="","",IF(SUMIFS('Facturas y gastos'!$D$10:$D$13,'Facturas y gastos'!$A$10:$A$13,A279)=0,"",J279*SUMIFS('Facturas y gastos'!$J$10:$J$13,'Facturas y gastos'!$A$10:$A$13,A279)/SUMIFS('Facturas y gastos'!$D$10:$D$13,'Facturas y gastos'!$A$10:$A$13,A279)))</f>
        <v>0</v>
      </c>
      <c r="O279" s="8">
        <f t="shared" si="8"/>
        <v>280.75861267056018</v>
      </c>
      <c r="P279" s="8" t="str">
        <f>IF(OR(O279="",'Facturas y gastos'!$B$24="",'Facturas y gastos'!$B$45&lt;&gt;"OK",SUM($O$8:$O$657)=0),"",O279*'Facturas y gastos'!$B$43/SUM($O$8:$O$657))</f>
        <v/>
      </c>
      <c r="Q279" s="8" t="str">
        <f>IF(OR(O279="",'Facturas y gastos'!$B$5="",P279=""),"",O279*'Facturas y gastos'!$B$5+P279)</f>
        <v/>
      </c>
      <c r="R279" s="8" t="str">
        <f t="shared" si="9"/>
        <v/>
      </c>
    </row>
    <row r="280" spans="1:18">
      <c r="A280" s="25" t="s">
        <v>61</v>
      </c>
      <c r="B280" s="25">
        <v>35</v>
      </c>
      <c r="C280" s="25" t="s">
        <v>427</v>
      </c>
      <c r="D280" s="25" t="s">
        <v>137</v>
      </c>
      <c r="E280" s="25" t="s">
        <v>108</v>
      </c>
      <c r="F280" s="27">
        <v>240</v>
      </c>
      <c r="G280" s="27">
        <v>10</v>
      </c>
      <c r="H280" s="29">
        <v>1.27</v>
      </c>
      <c r="I280" s="29">
        <v>304.8</v>
      </c>
      <c r="J280" s="8">
        <f>IF(OR(A280="",I280=""),"",IF(SUMIFS($I$8:$I$657,$A$8:$A$657,A280)=0,"",I280*SUMIFS('Facturas y gastos'!$D$10:$D$13,'Facturas y gastos'!$A$10:$A$13,A280)/SUMIFS($I$8:$I$657,$A$8:$A$657,A280)))</f>
        <v>304.79992338695996</v>
      </c>
      <c r="K280" s="8">
        <f>IF(J280="","",IF(SUMIFS('Facturas y gastos'!$D$10:$D$13,'Facturas y gastos'!$A$10:$A$13,A280)=0,"",J280*SUMIFS('Facturas y gastos'!$G$10:$G$13,'Facturas y gastos'!$A$10:$A$13,A280)/SUMIFS('Facturas y gastos'!$D$10:$D$13,'Facturas y gastos'!$A$10:$A$13,A280)))</f>
        <v>3.0479731854359819</v>
      </c>
      <c r="L280" s="8">
        <f>IF(J280="","",IF(SUMIFS('Facturas y gastos'!$D$10:$D$13,'Facturas y gastos'!$A$10:$A$13,A280)=0,"",J280*SUMIFS('Facturas y gastos'!$H$10:$H$13,'Facturas y gastos'!$A$10:$A$13,A280)/SUMIFS('Facturas y gastos'!$D$10:$D$13,'Facturas y gastos'!$A$10:$A$13,A280)))</f>
        <v>9.1439961693479983</v>
      </c>
      <c r="M280" s="8">
        <f>IF(J280="","",IF(SUMIFS('Facturas y gastos'!$D$10:$D$13,'Facturas y gastos'!$A$10:$A$13,A280)=0,"",J280*SUMIFS('Facturas y gastos'!$I$10:$I$13,'Facturas y gastos'!$A$10:$A$13,A280)/SUMIFS('Facturas y gastos'!$D$10:$D$13,'Facturas y gastos'!$A$10:$A$13,A280)))</f>
        <v>60.524301641223246</v>
      </c>
      <c r="N280" s="8">
        <f>IF(J280="","",IF(SUMIFS('Facturas y gastos'!$D$10:$D$13,'Facturas y gastos'!$A$10:$A$13,A280)=0,"",J280*SUMIFS('Facturas y gastos'!$J$10:$J$13,'Facturas y gastos'!$A$10:$A$13,A280)/SUMIFS('Facturas y gastos'!$D$10:$D$13,'Facturas y gastos'!$A$10:$A$13,A280)))</f>
        <v>0</v>
      </c>
      <c r="O280" s="8">
        <f t="shared" si="8"/>
        <v>371.42024801209521</v>
      </c>
      <c r="P280" s="8" t="str">
        <f>IF(OR(O280="",'Facturas y gastos'!$B$24="",'Facturas y gastos'!$B$45&lt;&gt;"OK",SUM($O$8:$O$657)=0),"",O280*'Facturas y gastos'!$B$43/SUM($O$8:$O$657))</f>
        <v/>
      </c>
      <c r="Q280" s="8" t="str">
        <f>IF(OR(O280="",'Facturas y gastos'!$B$5="",P280=""),"",O280*'Facturas y gastos'!$B$5+P280)</f>
        <v/>
      </c>
      <c r="R280" s="8" t="str">
        <f t="shared" si="9"/>
        <v/>
      </c>
    </row>
    <row r="281" spans="1:18">
      <c r="A281" s="25" t="s">
        <v>61</v>
      </c>
      <c r="B281" s="25">
        <v>36</v>
      </c>
      <c r="C281" s="25" t="s">
        <v>428</v>
      </c>
      <c r="D281" s="25" t="s">
        <v>137</v>
      </c>
      <c r="E281" s="25" t="s">
        <v>108</v>
      </c>
      <c r="F281" s="27">
        <v>36</v>
      </c>
      <c r="G281" s="27">
        <v>3</v>
      </c>
      <c r="H281" s="29">
        <v>1.72</v>
      </c>
      <c r="I281" s="29">
        <v>61.92</v>
      </c>
      <c r="J281" s="8">
        <f>IF(OR(A281="",I281=""),"",IF(SUMIFS($I$8:$I$657,$A$8:$A$657,A281)=0,"",I281*SUMIFS('Facturas y gastos'!$D$10:$D$13,'Facturas y gastos'!$A$10:$A$13,A281)/SUMIFS($I$8:$I$657,$A$8:$A$657,A281)))</f>
        <v>61.919984436091092</v>
      </c>
      <c r="K281" s="8">
        <f>IF(J281="","",IF(SUMIFS('Facturas y gastos'!$D$10:$D$13,'Facturas y gastos'!$A$10:$A$13,A281)=0,"",J281*SUMIFS('Facturas y gastos'!$G$10:$G$13,'Facturas y gastos'!$A$10:$A$13,A281)/SUMIFS('Facturas y gastos'!$D$10:$D$13,'Facturas y gastos'!$A$10:$A$13,A281)))</f>
        <v>0.61919455263187684</v>
      </c>
      <c r="L281" s="8">
        <f>IF(J281="","",IF(SUMIFS('Facturas y gastos'!$D$10:$D$13,'Facturas y gastos'!$A$10:$A$13,A281)=0,"",J281*SUMIFS('Facturas y gastos'!$H$10:$H$13,'Facturas y gastos'!$A$10:$A$13,A281)/SUMIFS('Facturas y gastos'!$D$10:$D$13,'Facturas y gastos'!$A$10:$A$13,A281)))</f>
        <v>1.8575992218045545</v>
      </c>
      <c r="M281" s="8">
        <f>IF(J281="","",IF(SUMIFS('Facturas y gastos'!$D$10:$D$13,'Facturas y gastos'!$A$10:$A$13,A281)=0,"",J281*SUMIFS('Facturas y gastos'!$I$10:$I$13,'Facturas y gastos'!$A$10:$A$13,A281)/SUMIFS('Facturas y gastos'!$D$10:$D$13,'Facturas y gastos'!$A$10:$A$13,A281)))</f>
        <v>12.295488049949293</v>
      </c>
      <c r="N281" s="8">
        <f>IF(J281="","",IF(SUMIFS('Facturas y gastos'!$D$10:$D$13,'Facturas y gastos'!$A$10:$A$13,A281)=0,"",J281*SUMIFS('Facturas y gastos'!$J$10:$J$13,'Facturas y gastos'!$A$10:$A$13,A281)/SUMIFS('Facturas y gastos'!$D$10:$D$13,'Facturas y gastos'!$A$10:$A$13,A281)))</f>
        <v>0</v>
      </c>
      <c r="O281" s="8">
        <f t="shared" si="8"/>
        <v>75.453877155213064</v>
      </c>
      <c r="P281" s="8" t="str">
        <f>IF(OR(O281="",'Facturas y gastos'!$B$24="",'Facturas y gastos'!$B$45&lt;&gt;"OK",SUM($O$8:$O$657)=0),"",O281*'Facturas y gastos'!$B$43/SUM($O$8:$O$657))</f>
        <v/>
      </c>
      <c r="Q281" s="8" t="str">
        <f>IF(OR(O281="",'Facturas y gastos'!$B$5="",P281=""),"",O281*'Facturas y gastos'!$B$5+P281)</f>
        <v/>
      </c>
      <c r="R281" s="8" t="str">
        <f t="shared" si="9"/>
        <v/>
      </c>
    </row>
    <row r="282" spans="1:18">
      <c r="A282" s="25" t="s">
        <v>61</v>
      </c>
      <c r="B282" s="25">
        <v>37</v>
      </c>
      <c r="C282" s="25" t="s">
        <v>429</v>
      </c>
      <c r="D282" s="25" t="s">
        <v>137</v>
      </c>
      <c r="E282" s="25" t="s">
        <v>108</v>
      </c>
      <c r="F282" s="27">
        <v>108</v>
      </c>
      <c r="G282" s="27">
        <v>3</v>
      </c>
      <c r="H282" s="29">
        <v>0.78</v>
      </c>
      <c r="I282" s="29">
        <v>84.24</v>
      </c>
      <c r="J282" s="8">
        <f>IF(OR(A282="",I282=""),"",IF(SUMIFS($I$8:$I$657,$A$8:$A$657,A282)=0,"",I282*SUMIFS('Facturas y gastos'!$D$10:$D$13,'Facturas y gastos'!$A$10:$A$13,A282)/SUMIFS($I$8:$I$657,$A$8:$A$657,A282)))</f>
        <v>84.239978825844844</v>
      </c>
      <c r="K282" s="8">
        <f>IF(J282="","",IF(SUMIFS('Facturas y gastos'!$D$10:$D$13,'Facturas y gastos'!$A$10:$A$13,A282)=0,"",J282*SUMIFS('Facturas y gastos'!$G$10:$G$13,'Facturas y gastos'!$A$10:$A$13,A282)/SUMIFS('Facturas y gastos'!$D$10:$D$13,'Facturas y gastos'!$A$10:$A$13,A282)))</f>
        <v>0.8423925890456927</v>
      </c>
      <c r="L282" s="8">
        <f>IF(J282="","",IF(SUMIFS('Facturas y gastos'!$D$10:$D$13,'Facturas y gastos'!$A$10:$A$13,A282)=0,"",J282*SUMIFS('Facturas y gastos'!$H$10:$H$13,'Facturas y gastos'!$A$10:$A$13,A282)/SUMIFS('Facturas y gastos'!$D$10:$D$13,'Facturas y gastos'!$A$10:$A$13,A282)))</f>
        <v>2.5271989412922422</v>
      </c>
      <c r="M282" s="8">
        <f>IF(J282="","",IF(SUMIFS('Facturas y gastos'!$D$10:$D$13,'Facturas y gastos'!$A$10:$A$13,A282)=0,"",J282*SUMIFS('Facturas y gastos'!$I$10:$I$13,'Facturas y gastos'!$A$10:$A$13,A282)/SUMIFS('Facturas y gastos'!$D$10:$D$13,'Facturas y gastos'!$A$10:$A$13,A282)))</f>
        <v>16.727582579582176</v>
      </c>
      <c r="N282" s="8">
        <f>IF(J282="","",IF(SUMIFS('Facturas y gastos'!$D$10:$D$13,'Facturas y gastos'!$A$10:$A$13,A282)=0,"",J282*SUMIFS('Facturas y gastos'!$J$10:$J$13,'Facturas y gastos'!$A$10:$A$13,A282)/SUMIFS('Facturas y gastos'!$D$10:$D$13,'Facturas y gastos'!$A$10:$A$13,A282)))</f>
        <v>0</v>
      </c>
      <c r="O282" s="8">
        <f t="shared" si="8"/>
        <v>102.65236775767357</v>
      </c>
      <c r="P282" s="8" t="str">
        <f>IF(OR(O282="",'Facturas y gastos'!$B$24="",'Facturas y gastos'!$B$45&lt;&gt;"OK",SUM($O$8:$O$657)=0),"",O282*'Facturas y gastos'!$B$43/SUM($O$8:$O$657))</f>
        <v/>
      </c>
      <c r="Q282" s="8" t="str">
        <f>IF(OR(O282="",'Facturas y gastos'!$B$5="",P282=""),"",O282*'Facturas y gastos'!$B$5+P282)</f>
        <v/>
      </c>
      <c r="R282" s="8" t="str">
        <f t="shared" si="9"/>
        <v/>
      </c>
    </row>
    <row r="283" spans="1:18">
      <c r="A283" s="25" t="s">
        <v>61</v>
      </c>
      <c r="B283" s="25">
        <v>38</v>
      </c>
      <c r="C283" s="25" t="s">
        <v>430</v>
      </c>
      <c r="D283" s="25" t="s">
        <v>394</v>
      </c>
      <c r="E283" s="25" t="s">
        <v>108</v>
      </c>
      <c r="F283" s="27">
        <v>360</v>
      </c>
      <c r="G283" s="27">
        <v>3</v>
      </c>
      <c r="H283" s="29">
        <v>0.19</v>
      </c>
      <c r="I283" s="29">
        <v>68.400000000000006</v>
      </c>
      <c r="J283" s="8">
        <f>IF(OR(A283="",I283=""),"",IF(SUMIFS($I$8:$I$657,$A$8:$A$657,A283)=0,"",I283*SUMIFS('Facturas y gastos'!$D$10:$D$13,'Facturas y gastos'!$A$10:$A$13,A283)/SUMIFS($I$8:$I$657,$A$8:$A$657,A283)))</f>
        <v>68.399982807309925</v>
      </c>
      <c r="K283" s="8">
        <f>IF(J283="","",IF(SUMIFS('Facturas y gastos'!$D$10:$D$13,'Facturas y gastos'!$A$10:$A$13,A283)=0,"",J283*SUMIFS('Facturas y gastos'!$G$10:$G$13,'Facturas y gastos'!$A$10:$A$13,A283)/SUMIFS('Facturas y gastos'!$D$10:$D$13,'Facturas y gastos'!$A$10:$A$13,A283)))</f>
        <v>0.68399398255846855</v>
      </c>
      <c r="L283" s="8">
        <f>IF(J283="","",IF(SUMIFS('Facturas y gastos'!$D$10:$D$13,'Facturas y gastos'!$A$10:$A$13,A283)=0,"",J283*SUMIFS('Facturas y gastos'!$H$10:$H$13,'Facturas y gastos'!$A$10:$A$13,A283)/SUMIFS('Facturas y gastos'!$D$10:$D$13,'Facturas y gastos'!$A$10:$A$13,A283)))</f>
        <v>2.051999140365496</v>
      </c>
      <c r="M283" s="8">
        <f>IF(J283="","",IF(SUMIFS('Facturas y gastos'!$D$10:$D$13,'Facturas y gastos'!$A$10:$A$13,A283)=0,"",J283*SUMIFS('Facturas y gastos'!$I$10:$I$13,'Facturas y gastos'!$A$10:$A$13,A283)/SUMIFS('Facturas y gastos'!$D$10:$D$13,'Facturas y gastos'!$A$10:$A$13,A283)))</f>
        <v>13.582225171455615</v>
      </c>
      <c r="N283" s="8">
        <f>IF(J283="","",IF(SUMIFS('Facturas y gastos'!$D$10:$D$13,'Facturas y gastos'!$A$10:$A$13,A283)=0,"",J283*SUMIFS('Facturas y gastos'!$J$10:$J$13,'Facturas y gastos'!$A$10:$A$13,A283)/SUMIFS('Facturas y gastos'!$D$10:$D$13,'Facturas y gastos'!$A$10:$A$13,A283)))</f>
        <v>0</v>
      </c>
      <c r="O283" s="8">
        <f t="shared" si="8"/>
        <v>83.350213136572577</v>
      </c>
      <c r="P283" s="8" t="str">
        <f>IF(OR(O283="",'Facturas y gastos'!$B$24="",'Facturas y gastos'!$B$45&lt;&gt;"OK",SUM($O$8:$O$657)=0),"",O283*'Facturas y gastos'!$B$43/SUM($O$8:$O$657))</f>
        <v/>
      </c>
      <c r="Q283" s="8" t="str">
        <f>IF(OR(O283="",'Facturas y gastos'!$B$5="",P283=""),"",O283*'Facturas y gastos'!$B$5+P283)</f>
        <v/>
      </c>
      <c r="R283" s="8" t="str">
        <f t="shared" si="9"/>
        <v/>
      </c>
    </row>
    <row r="284" spans="1:18">
      <c r="A284" s="25" t="s">
        <v>61</v>
      </c>
      <c r="B284" s="25">
        <v>39</v>
      </c>
      <c r="C284" s="25" t="s">
        <v>431</v>
      </c>
      <c r="D284" s="25" t="s">
        <v>394</v>
      </c>
      <c r="E284" s="25" t="s">
        <v>108</v>
      </c>
      <c r="F284" s="27">
        <v>300</v>
      </c>
      <c r="G284" s="27">
        <v>5</v>
      </c>
      <c r="H284" s="29">
        <v>0.33</v>
      </c>
      <c r="I284" s="29">
        <v>99</v>
      </c>
      <c r="J284" s="8">
        <f>IF(OR(A284="",I284=""),"",IF(SUMIFS($I$8:$I$657,$A$8:$A$657,A284)=0,"",I284*SUMIFS('Facturas y gastos'!$D$10:$D$13,'Facturas y gastos'!$A$10:$A$13,A284)/SUMIFS($I$8:$I$657,$A$8:$A$657,A284)))</f>
        <v>98.999975115843299</v>
      </c>
      <c r="K284" s="8">
        <f>IF(J284="","",IF(SUMIFS('Facturas y gastos'!$D$10:$D$13,'Facturas y gastos'!$A$10:$A$13,A284)=0,"",J284*SUMIFS('Facturas y gastos'!$G$10:$G$13,'Facturas y gastos'!$A$10:$A$13,A284)/SUMIFS('Facturas y gastos'!$D$10:$D$13,'Facturas y gastos'!$A$10:$A$13,A284)))</f>
        <v>0.98999129054515156</v>
      </c>
      <c r="L284" s="8">
        <f>IF(J284="","",IF(SUMIFS('Facturas y gastos'!$D$10:$D$13,'Facturas y gastos'!$A$10:$A$13,A284)=0,"",J284*SUMIFS('Facturas y gastos'!$H$10:$H$13,'Facturas y gastos'!$A$10:$A$13,A284)/SUMIFS('Facturas y gastos'!$D$10:$D$13,'Facturas y gastos'!$A$10:$A$13,A284)))</f>
        <v>2.9699987557921648</v>
      </c>
      <c r="M284" s="8">
        <f>IF(J284="","",IF(SUMIFS('Facturas y gastos'!$D$10:$D$13,'Facturas y gastos'!$A$10:$A$13,A284)=0,"",J284*SUMIFS('Facturas y gastos'!$I$10:$I$13,'Facturas y gastos'!$A$10:$A$13,A284)/SUMIFS('Facturas y gastos'!$D$10:$D$13,'Facturas y gastos'!$A$10:$A$13,A284)))</f>
        <v>19.658483800791018</v>
      </c>
      <c r="N284" s="8">
        <f>IF(J284="","",IF(SUMIFS('Facturas y gastos'!$D$10:$D$13,'Facturas y gastos'!$A$10:$A$13,A284)=0,"",J284*SUMIFS('Facturas y gastos'!$J$10:$J$13,'Facturas y gastos'!$A$10:$A$13,A284)/SUMIFS('Facturas y gastos'!$D$10:$D$13,'Facturas y gastos'!$A$10:$A$13,A284)))</f>
        <v>0</v>
      </c>
      <c r="O284" s="8">
        <f t="shared" si="8"/>
        <v>120.63846638188133</v>
      </c>
      <c r="P284" s="8" t="str">
        <f>IF(OR(O284="",'Facturas y gastos'!$B$24="",'Facturas y gastos'!$B$45&lt;&gt;"OK",SUM($O$8:$O$657)=0),"",O284*'Facturas y gastos'!$B$43/SUM($O$8:$O$657))</f>
        <v/>
      </c>
      <c r="Q284" s="8" t="str">
        <f>IF(OR(O284="",'Facturas y gastos'!$B$5="",P284=""),"",O284*'Facturas y gastos'!$B$5+P284)</f>
        <v/>
      </c>
      <c r="R284" s="8" t="str">
        <f t="shared" si="9"/>
        <v/>
      </c>
    </row>
    <row r="285" spans="1:18">
      <c r="A285" s="25" t="s">
        <v>61</v>
      </c>
      <c r="B285" s="25">
        <v>40</v>
      </c>
      <c r="C285" s="25" t="s">
        <v>432</v>
      </c>
      <c r="D285" s="25" t="s">
        <v>394</v>
      </c>
      <c r="E285" s="25" t="s">
        <v>108</v>
      </c>
      <c r="F285" s="27">
        <v>300</v>
      </c>
      <c r="G285" s="27">
        <v>10</v>
      </c>
      <c r="H285" s="29">
        <v>0.59</v>
      </c>
      <c r="I285" s="29">
        <v>177</v>
      </c>
      <c r="J285" s="8">
        <f>IF(OR(A285="",I285=""),"",IF(SUMIFS($I$8:$I$657,$A$8:$A$657,A285)=0,"",I285*SUMIFS('Facturas y gastos'!$D$10:$D$13,'Facturas y gastos'!$A$10:$A$13,A285)/SUMIFS($I$8:$I$657,$A$8:$A$657,A285)))</f>
        <v>176.9999555101441</v>
      </c>
      <c r="K285" s="8">
        <f>IF(J285="","",IF(SUMIFS('Facturas y gastos'!$D$10:$D$13,'Facturas y gastos'!$A$10:$A$13,A285)=0,"",J285*SUMIFS('Facturas y gastos'!$G$10:$G$13,'Facturas y gastos'!$A$10:$A$13,A285)/SUMIFS('Facturas y gastos'!$D$10:$D$13,'Facturas y gastos'!$A$10:$A$13,A285)))</f>
        <v>1.7699844285504229</v>
      </c>
      <c r="L285" s="8">
        <f>IF(J285="","",IF(SUMIFS('Facturas y gastos'!$D$10:$D$13,'Facturas y gastos'!$A$10:$A$13,A285)=0,"",J285*SUMIFS('Facturas y gastos'!$H$10:$H$13,'Facturas y gastos'!$A$10:$A$13,A285)/SUMIFS('Facturas y gastos'!$D$10:$D$13,'Facturas y gastos'!$A$10:$A$13,A285)))</f>
        <v>5.3099977755072052</v>
      </c>
      <c r="M285" s="8">
        <f>IF(J285="","",IF(SUMIFS('Facturas y gastos'!$D$10:$D$13,'Facturas y gastos'!$A$10:$A$13,A285)=0,"",J285*SUMIFS('Facturas y gastos'!$I$10:$I$13,'Facturas y gastos'!$A$10:$A$13,A285)/SUMIFS('Facturas y gastos'!$D$10:$D$13,'Facturas y gastos'!$A$10:$A$13,A285)))</f>
        <v>35.146986189293038</v>
      </c>
      <c r="N285" s="8">
        <f>IF(J285="","",IF(SUMIFS('Facturas y gastos'!$D$10:$D$13,'Facturas y gastos'!$A$10:$A$13,A285)=0,"",J285*SUMIFS('Facturas y gastos'!$J$10:$J$13,'Facturas y gastos'!$A$10:$A$13,A285)/SUMIFS('Facturas y gastos'!$D$10:$D$13,'Facturas y gastos'!$A$10:$A$13,A285)))</f>
        <v>0</v>
      </c>
      <c r="O285" s="8">
        <f t="shared" si="8"/>
        <v>215.68695504639393</v>
      </c>
      <c r="P285" s="8" t="str">
        <f>IF(OR(O285="",'Facturas y gastos'!$B$24="",'Facturas y gastos'!$B$45&lt;&gt;"OK",SUM($O$8:$O$657)=0),"",O285*'Facturas y gastos'!$B$43/SUM($O$8:$O$657))</f>
        <v/>
      </c>
      <c r="Q285" s="8" t="str">
        <f>IF(OR(O285="",'Facturas y gastos'!$B$5="",P285=""),"",O285*'Facturas y gastos'!$B$5+P285)</f>
        <v/>
      </c>
      <c r="R285" s="8" t="str">
        <f t="shared" si="9"/>
        <v/>
      </c>
    </row>
    <row r="286" spans="1:18">
      <c r="A286" s="25" t="s">
        <v>61</v>
      </c>
      <c r="B286" s="25">
        <v>41</v>
      </c>
      <c r="C286" s="25" t="s">
        <v>433</v>
      </c>
      <c r="D286" s="25" t="s">
        <v>394</v>
      </c>
      <c r="E286" s="25" t="s">
        <v>108</v>
      </c>
      <c r="F286" s="27">
        <v>240</v>
      </c>
      <c r="G286" s="27">
        <v>3</v>
      </c>
      <c r="H286" s="29">
        <v>0.25</v>
      </c>
      <c r="I286" s="29">
        <v>60</v>
      </c>
      <c r="J286" s="8">
        <f>IF(OR(A286="",I286=""),"",IF(SUMIFS($I$8:$I$657,$A$8:$A$657,A286)=0,"",I286*SUMIFS('Facturas y gastos'!$D$10:$D$13,'Facturas y gastos'!$A$10:$A$13,A286)/SUMIFS($I$8:$I$657,$A$8:$A$657,A286)))</f>
        <v>59.999984918692917</v>
      </c>
      <c r="K286" s="8">
        <f>IF(J286="","",IF(SUMIFS('Facturas y gastos'!$D$10:$D$13,'Facturas y gastos'!$A$10:$A$13,A286)=0,"",J286*SUMIFS('Facturas y gastos'!$G$10:$G$13,'Facturas y gastos'!$A$10:$A$13,A286)/SUMIFS('Facturas y gastos'!$D$10:$D$13,'Facturas y gastos'!$A$10:$A$13,A286)))</f>
        <v>0.59999472154251621</v>
      </c>
      <c r="L286" s="8">
        <f>IF(J286="","",IF(SUMIFS('Facturas y gastos'!$D$10:$D$13,'Facturas y gastos'!$A$10:$A$13,A286)=0,"",J286*SUMIFS('Facturas y gastos'!$H$10:$H$13,'Facturas y gastos'!$A$10:$A$13,A286)/SUMIFS('Facturas y gastos'!$D$10:$D$13,'Facturas y gastos'!$A$10:$A$13,A286)))</f>
        <v>1.7999992459346457</v>
      </c>
      <c r="M286" s="8">
        <f>IF(J286="","",IF(SUMIFS('Facturas y gastos'!$D$10:$D$13,'Facturas y gastos'!$A$10:$A$13,A286)=0,"",J286*SUMIFS('Facturas y gastos'!$I$10:$I$13,'Facturas y gastos'!$A$10:$A$13,A286)/SUMIFS('Facturas y gastos'!$D$10:$D$13,'Facturas y gastos'!$A$10:$A$13,A286)))</f>
        <v>11.914232606540013</v>
      </c>
      <c r="N286" s="8">
        <f>IF(J286="","",IF(SUMIFS('Facturas y gastos'!$D$10:$D$13,'Facturas y gastos'!$A$10:$A$13,A286)=0,"",J286*SUMIFS('Facturas y gastos'!$J$10:$J$13,'Facturas y gastos'!$A$10:$A$13,A286)/SUMIFS('Facturas y gastos'!$D$10:$D$13,'Facturas y gastos'!$A$10:$A$13,A286)))</f>
        <v>0</v>
      </c>
      <c r="O286" s="8">
        <f t="shared" si="8"/>
        <v>73.114222049625056</v>
      </c>
      <c r="P286" s="8" t="str">
        <f>IF(OR(O286="",'Facturas y gastos'!$B$24="",'Facturas y gastos'!$B$45&lt;&gt;"OK",SUM($O$8:$O$657)=0),"",O286*'Facturas y gastos'!$B$43/SUM($O$8:$O$657))</f>
        <v/>
      </c>
      <c r="Q286" s="8" t="str">
        <f>IF(OR(O286="",'Facturas y gastos'!$B$5="",P286=""),"",O286*'Facturas y gastos'!$B$5+P286)</f>
        <v/>
      </c>
      <c r="R286" s="8" t="str">
        <f t="shared" si="9"/>
        <v/>
      </c>
    </row>
    <row r="287" spans="1:18">
      <c r="A287" s="25" t="s">
        <v>61</v>
      </c>
      <c r="B287" s="25">
        <v>42</v>
      </c>
      <c r="C287" s="25" t="s">
        <v>434</v>
      </c>
      <c r="D287" s="25" t="s">
        <v>394</v>
      </c>
      <c r="E287" s="25" t="s">
        <v>108</v>
      </c>
      <c r="F287" s="27">
        <v>250</v>
      </c>
      <c r="G287" s="27">
        <v>5</v>
      </c>
      <c r="H287" s="29">
        <v>0.33</v>
      </c>
      <c r="I287" s="29">
        <v>82.5</v>
      </c>
      <c r="J287" s="8">
        <f>IF(OR(A287="",I287=""),"",IF(SUMIFS($I$8:$I$657,$A$8:$A$657,A287)=0,"",I287*SUMIFS('Facturas y gastos'!$D$10:$D$13,'Facturas y gastos'!$A$10:$A$13,A287)/SUMIFS($I$8:$I$657,$A$8:$A$657,A287)))</f>
        <v>82.499979263202761</v>
      </c>
      <c r="K287" s="8">
        <f>IF(J287="","",IF(SUMIFS('Facturas y gastos'!$D$10:$D$13,'Facturas y gastos'!$A$10:$A$13,A287)=0,"",J287*SUMIFS('Facturas y gastos'!$G$10:$G$13,'Facturas y gastos'!$A$10:$A$13,A287)/SUMIFS('Facturas y gastos'!$D$10:$D$13,'Facturas y gastos'!$A$10:$A$13,A287)))</f>
        <v>0.82499274212095974</v>
      </c>
      <c r="L287" s="8">
        <f>IF(J287="","",IF(SUMIFS('Facturas y gastos'!$D$10:$D$13,'Facturas y gastos'!$A$10:$A$13,A287)=0,"",J287*SUMIFS('Facturas y gastos'!$H$10:$H$13,'Facturas y gastos'!$A$10:$A$13,A287)/SUMIFS('Facturas y gastos'!$D$10:$D$13,'Facturas y gastos'!$A$10:$A$13,A287)))</f>
        <v>2.4749989631601377</v>
      </c>
      <c r="M287" s="8">
        <f>IF(J287="","",IF(SUMIFS('Facturas y gastos'!$D$10:$D$13,'Facturas y gastos'!$A$10:$A$13,A287)=0,"",J287*SUMIFS('Facturas y gastos'!$I$10:$I$13,'Facturas y gastos'!$A$10:$A$13,A287)/SUMIFS('Facturas y gastos'!$D$10:$D$13,'Facturas y gastos'!$A$10:$A$13,A287)))</f>
        <v>16.382069833992517</v>
      </c>
      <c r="N287" s="8">
        <f>IF(J287="","",IF(SUMIFS('Facturas y gastos'!$D$10:$D$13,'Facturas y gastos'!$A$10:$A$13,A287)=0,"",J287*SUMIFS('Facturas y gastos'!$J$10:$J$13,'Facturas y gastos'!$A$10:$A$13,A287)/SUMIFS('Facturas y gastos'!$D$10:$D$13,'Facturas y gastos'!$A$10:$A$13,A287)))</f>
        <v>0</v>
      </c>
      <c r="O287" s="8">
        <f t="shared" si="8"/>
        <v>100.53205531823446</v>
      </c>
      <c r="P287" s="8" t="str">
        <f>IF(OR(O287="",'Facturas y gastos'!$B$24="",'Facturas y gastos'!$B$45&lt;&gt;"OK",SUM($O$8:$O$657)=0),"",O287*'Facturas y gastos'!$B$43/SUM($O$8:$O$657))</f>
        <v/>
      </c>
      <c r="Q287" s="8" t="str">
        <f>IF(OR(O287="",'Facturas y gastos'!$B$5="",P287=""),"",O287*'Facturas y gastos'!$B$5+P287)</f>
        <v/>
      </c>
      <c r="R287" s="8" t="str">
        <f t="shared" si="9"/>
        <v/>
      </c>
    </row>
    <row r="288" spans="1:18">
      <c r="A288" s="25" t="s">
        <v>61</v>
      </c>
      <c r="B288" s="25">
        <v>43</v>
      </c>
      <c r="C288" s="25" t="s">
        <v>435</v>
      </c>
      <c r="D288" s="25" t="s">
        <v>137</v>
      </c>
      <c r="E288" s="25" t="s">
        <v>108</v>
      </c>
      <c r="F288" s="27">
        <v>240</v>
      </c>
      <c r="G288" s="27">
        <v>3</v>
      </c>
      <c r="H288" s="29">
        <v>0.25</v>
      </c>
      <c r="I288" s="29">
        <v>60</v>
      </c>
      <c r="J288" s="8">
        <f>IF(OR(A288="",I288=""),"",IF(SUMIFS($I$8:$I$657,$A$8:$A$657,A288)=0,"",I288*SUMIFS('Facturas y gastos'!$D$10:$D$13,'Facturas y gastos'!$A$10:$A$13,A288)/SUMIFS($I$8:$I$657,$A$8:$A$657,A288)))</f>
        <v>59.999984918692917</v>
      </c>
      <c r="K288" s="8">
        <f>IF(J288="","",IF(SUMIFS('Facturas y gastos'!$D$10:$D$13,'Facturas y gastos'!$A$10:$A$13,A288)=0,"",J288*SUMIFS('Facturas y gastos'!$G$10:$G$13,'Facturas y gastos'!$A$10:$A$13,A288)/SUMIFS('Facturas y gastos'!$D$10:$D$13,'Facturas y gastos'!$A$10:$A$13,A288)))</f>
        <v>0.59999472154251621</v>
      </c>
      <c r="L288" s="8">
        <f>IF(J288="","",IF(SUMIFS('Facturas y gastos'!$D$10:$D$13,'Facturas y gastos'!$A$10:$A$13,A288)=0,"",J288*SUMIFS('Facturas y gastos'!$H$10:$H$13,'Facturas y gastos'!$A$10:$A$13,A288)/SUMIFS('Facturas y gastos'!$D$10:$D$13,'Facturas y gastos'!$A$10:$A$13,A288)))</f>
        <v>1.7999992459346457</v>
      </c>
      <c r="M288" s="8">
        <f>IF(J288="","",IF(SUMIFS('Facturas y gastos'!$D$10:$D$13,'Facturas y gastos'!$A$10:$A$13,A288)=0,"",J288*SUMIFS('Facturas y gastos'!$I$10:$I$13,'Facturas y gastos'!$A$10:$A$13,A288)/SUMIFS('Facturas y gastos'!$D$10:$D$13,'Facturas y gastos'!$A$10:$A$13,A288)))</f>
        <v>11.914232606540013</v>
      </c>
      <c r="N288" s="8">
        <f>IF(J288="","",IF(SUMIFS('Facturas y gastos'!$D$10:$D$13,'Facturas y gastos'!$A$10:$A$13,A288)=0,"",J288*SUMIFS('Facturas y gastos'!$J$10:$J$13,'Facturas y gastos'!$A$10:$A$13,A288)/SUMIFS('Facturas y gastos'!$D$10:$D$13,'Facturas y gastos'!$A$10:$A$13,A288)))</f>
        <v>0</v>
      </c>
      <c r="O288" s="8">
        <f t="shared" si="8"/>
        <v>73.114222049625056</v>
      </c>
      <c r="P288" s="8" t="str">
        <f>IF(OR(O288="",'Facturas y gastos'!$B$24="",'Facturas y gastos'!$B$45&lt;&gt;"OK",SUM($O$8:$O$657)=0),"",O288*'Facturas y gastos'!$B$43/SUM($O$8:$O$657))</f>
        <v/>
      </c>
      <c r="Q288" s="8" t="str">
        <f>IF(OR(O288="",'Facturas y gastos'!$B$5="",P288=""),"",O288*'Facturas y gastos'!$B$5+P288)</f>
        <v/>
      </c>
      <c r="R288" s="8" t="str">
        <f t="shared" si="9"/>
        <v/>
      </c>
    </row>
    <row r="289" spans="1:18">
      <c r="A289" s="25" t="s">
        <v>61</v>
      </c>
      <c r="B289" s="25">
        <v>44</v>
      </c>
      <c r="C289" s="25" t="s">
        <v>436</v>
      </c>
      <c r="D289" s="25" t="s">
        <v>137</v>
      </c>
      <c r="E289" s="25" t="s">
        <v>108</v>
      </c>
      <c r="F289" s="27">
        <v>300</v>
      </c>
      <c r="G289" s="27">
        <v>5</v>
      </c>
      <c r="H289" s="29">
        <v>0.28999999999999998</v>
      </c>
      <c r="I289" s="29">
        <v>87</v>
      </c>
      <c r="J289" s="8">
        <f>IF(OR(A289="",I289=""),"",IF(SUMIFS($I$8:$I$657,$A$8:$A$657,A289)=0,"",I289*SUMIFS('Facturas y gastos'!$D$10:$D$13,'Facturas y gastos'!$A$10:$A$13,A289)/SUMIFS($I$8:$I$657,$A$8:$A$657,A289)))</f>
        <v>86.999978132104715</v>
      </c>
      <c r="K289" s="8">
        <f>IF(J289="","",IF(SUMIFS('Facturas y gastos'!$D$10:$D$13,'Facturas y gastos'!$A$10:$A$13,A289)=0,"",J289*SUMIFS('Facturas y gastos'!$G$10:$G$13,'Facturas y gastos'!$A$10:$A$13,A289)/SUMIFS('Facturas y gastos'!$D$10:$D$13,'Facturas y gastos'!$A$10:$A$13,A289)))</f>
        <v>0.86999234623664845</v>
      </c>
      <c r="L289" s="8">
        <f>IF(J289="","",IF(SUMIFS('Facturas y gastos'!$D$10:$D$13,'Facturas y gastos'!$A$10:$A$13,A289)=0,"",J289*SUMIFS('Facturas y gastos'!$H$10:$H$13,'Facturas y gastos'!$A$10:$A$13,A289)/SUMIFS('Facturas y gastos'!$D$10:$D$13,'Facturas y gastos'!$A$10:$A$13,A289)))</f>
        <v>2.6099989066052358</v>
      </c>
      <c r="M289" s="8">
        <f>IF(J289="","",IF(SUMIFS('Facturas y gastos'!$D$10:$D$13,'Facturas y gastos'!$A$10:$A$13,A289)=0,"",J289*SUMIFS('Facturas y gastos'!$I$10:$I$13,'Facturas y gastos'!$A$10:$A$13,A289)/SUMIFS('Facturas y gastos'!$D$10:$D$13,'Facturas y gastos'!$A$10:$A$13,A289)))</f>
        <v>17.275637279483018</v>
      </c>
      <c r="N289" s="8">
        <f>IF(J289="","",IF(SUMIFS('Facturas y gastos'!$D$10:$D$13,'Facturas y gastos'!$A$10:$A$13,A289)=0,"",J289*SUMIFS('Facturas y gastos'!$J$10:$J$13,'Facturas y gastos'!$A$10:$A$13,A289)/SUMIFS('Facturas y gastos'!$D$10:$D$13,'Facturas y gastos'!$A$10:$A$13,A289)))</f>
        <v>0</v>
      </c>
      <c r="O289" s="8">
        <f t="shared" si="8"/>
        <v>106.01562197195634</v>
      </c>
      <c r="P289" s="8" t="str">
        <f>IF(OR(O289="",'Facturas y gastos'!$B$24="",'Facturas y gastos'!$B$45&lt;&gt;"OK",SUM($O$8:$O$657)=0),"",O289*'Facturas y gastos'!$B$43/SUM($O$8:$O$657))</f>
        <v/>
      </c>
      <c r="Q289" s="8" t="str">
        <f>IF(OR(O289="",'Facturas y gastos'!$B$5="",P289=""),"",O289*'Facturas y gastos'!$B$5+P289)</f>
        <v/>
      </c>
      <c r="R289" s="8" t="str">
        <f t="shared" si="9"/>
        <v/>
      </c>
    </row>
    <row r="290" spans="1:18">
      <c r="A290" s="25" t="s">
        <v>61</v>
      </c>
      <c r="B290" s="25">
        <v>45</v>
      </c>
      <c r="C290" s="25" t="s">
        <v>437</v>
      </c>
      <c r="D290" s="25" t="s">
        <v>137</v>
      </c>
      <c r="E290" s="25" t="s">
        <v>108</v>
      </c>
      <c r="F290" s="27">
        <v>200</v>
      </c>
      <c r="G290" s="27">
        <v>5</v>
      </c>
      <c r="H290" s="29">
        <v>0.36</v>
      </c>
      <c r="I290" s="29">
        <v>72</v>
      </c>
      <c r="J290" s="8">
        <f>IF(OR(A290="",I290=""),"",IF(SUMIFS($I$8:$I$657,$A$8:$A$657,A290)=0,"",I290*SUMIFS('Facturas y gastos'!$D$10:$D$13,'Facturas y gastos'!$A$10:$A$13,A290)/SUMIFS($I$8:$I$657,$A$8:$A$657,A290)))</f>
        <v>71.999981902431486</v>
      </c>
      <c r="K290" s="8">
        <f>IF(J290="","",IF(SUMIFS('Facturas y gastos'!$D$10:$D$13,'Facturas y gastos'!$A$10:$A$13,A290)=0,"",J290*SUMIFS('Facturas y gastos'!$G$10:$G$13,'Facturas y gastos'!$A$10:$A$13,A290)/SUMIFS('Facturas y gastos'!$D$10:$D$13,'Facturas y gastos'!$A$10:$A$13,A290)))</f>
        <v>0.71999366585101932</v>
      </c>
      <c r="L290" s="8">
        <f>IF(J290="","",IF(SUMIFS('Facturas y gastos'!$D$10:$D$13,'Facturas y gastos'!$A$10:$A$13,A290)=0,"",J290*SUMIFS('Facturas y gastos'!$H$10:$H$13,'Facturas y gastos'!$A$10:$A$13,A290)/SUMIFS('Facturas y gastos'!$D$10:$D$13,'Facturas y gastos'!$A$10:$A$13,A290)))</f>
        <v>2.1599990951215742</v>
      </c>
      <c r="M290" s="8">
        <f>IF(J290="","",IF(SUMIFS('Facturas y gastos'!$D$10:$D$13,'Facturas y gastos'!$A$10:$A$13,A290)=0,"",J290*SUMIFS('Facturas y gastos'!$I$10:$I$13,'Facturas y gastos'!$A$10:$A$13,A290)/SUMIFS('Facturas y gastos'!$D$10:$D$13,'Facturas y gastos'!$A$10:$A$13,A290)))</f>
        <v>14.297079127848013</v>
      </c>
      <c r="N290" s="8">
        <f>IF(J290="","",IF(SUMIFS('Facturas y gastos'!$D$10:$D$13,'Facturas y gastos'!$A$10:$A$13,A290)=0,"",J290*SUMIFS('Facturas y gastos'!$J$10:$J$13,'Facturas y gastos'!$A$10:$A$13,A290)/SUMIFS('Facturas y gastos'!$D$10:$D$13,'Facturas y gastos'!$A$10:$A$13,A290)))</f>
        <v>0</v>
      </c>
      <c r="O290" s="8">
        <f t="shared" si="8"/>
        <v>87.73706645955005</v>
      </c>
      <c r="P290" s="8" t="str">
        <f>IF(OR(O290="",'Facturas y gastos'!$B$24="",'Facturas y gastos'!$B$45&lt;&gt;"OK",SUM($O$8:$O$657)=0),"",O290*'Facturas y gastos'!$B$43/SUM($O$8:$O$657))</f>
        <v/>
      </c>
      <c r="Q290" s="8" t="str">
        <f>IF(OR(O290="",'Facturas y gastos'!$B$5="",P290=""),"",O290*'Facturas y gastos'!$B$5+P290)</f>
        <v/>
      </c>
      <c r="R290" s="8" t="str">
        <f t="shared" si="9"/>
        <v/>
      </c>
    </row>
    <row r="291" spans="1:18">
      <c r="A291" s="25" t="s">
        <v>61</v>
      </c>
      <c r="B291" s="25">
        <v>46</v>
      </c>
      <c r="C291" s="25" t="s">
        <v>438</v>
      </c>
      <c r="D291" s="25" t="s">
        <v>137</v>
      </c>
      <c r="E291" s="25" t="s">
        <v>108</v>
      </c>
      <c r="F291" s="27">
        <v>180</v>
      </c>
      <c r="G291" s="27">
        <v>5</v>
      </c>
      <c r="H291" s="29">
        <v>0.49</v>
      </c>
      <c r="I291" s="29">
        <v>88.2</v>
      </c>
      <c r="J291" s="8">
        <f>IF(OR(A291="",I291=""),"",IF(SUMIFS($I$8:$I$657,$A$8:$A$657,A291)=0,"",I291*SUMIFS('Facturas y gastos'!$D$10:$D$13,'Facturas y gastos'!$A$10:$A$13,A291)/SUMIFS($I$8:$I$657,$A$8:$A$657,A291)))</f>
        <v>88.199977830478574</v>
      </c>
      <c r="K291" s="8">
        <f>IF(J291="","",IF(SUMIFS('Facturas y gastos'!$D$10:$D$13,'Facturas y gastos'!$A$10:$A$13,A291)=0,"",J291*SUMIFS('Facturas y gastos'!$G$10:$G$13,'Facturas y gastos'!$A$10:$A$13,A291)/SUMIFS('Facturas y gastos'!$D$10:$D$13,'Facturas y gastos'!$A$10:$A$13,A291)))</f>
        <v>0.88199224066749871</v>
      </c>
      <c r="L291" s="8">
        <f>IF(J291="","",IF(SUMIFS('Facturas y gastos'!$D$10:$D$13,'Facturas y gastos'!$A$10:$A$13,A291)=0,"",J291*SUMIFS('Facturas y gastos'!$H$10:$H$13,'Facturas y gastos'!$A$10:$A$13,A291)/SUMIFS('Facturas y gastos'!$D$10:$D$13,'Facturas y gastos'!$A$10:$A$13,A291)))</f>
        <v>2.6459988915239285</v>
      </c>
      <c r="M291" s="8">
        <f>IF(J291="","",IF(SUMIFS('Facturas y gastos'!$D$10:$D$13,'Facturas y gastos'!$A$10:$A$13,A291)=0,"",J291*SUMIFS('Facturas y gastos'!$I$10:$I$13,'Facturas y gastos'!$A$10:$A$13,A291)/SUMIFS('Facturas y gastos'!$D$10:$D$13,'Facturas y gastos'!$A$10:$A$13,A291)))</f>
        <v>17.513921931613815</v>
      </c>
      <c r="N291" s="8">
        <f>IF(J291="","",IF(SUMIFS('Facturas y gastos'!$D$10:$D$13,'Facturas y gastos'!$A$10:$A$13,A291)=0,"",J291*SUMIFS('Facturas y gastos'!$J$10:$J$13,'Facturas y gastos'!$A$10:$A$13,A291)/SUMIFS('Facturas y gastos'!$D$10:$D$13,'Facturas y gastos'!$A$10:$A$13,A291)))</f>
        <v>0</v>
      </c>
      <c r="O291" s="8">
        <f t="shared" si="8"/>
        <v>107.47790641294881</v>
      </c>
      <c r="P291" s="8" t="str">
        <f>IF(OR(O291="",'Facturas y gastos'!$B$24="",'Facturas y gastos'!$B$45&lt;&gt;"OK",SUM($O$8:$O$657)=0),"",O291*'Facturas y gastos'!$B$43/SUM($O$8:$O$657))</f>
        <v/>
      </c>
      <c r="Q291" s="8" t="str">
        <f>IF(OR(O291="",'Facturas y gastos'!$B$5="",P291=""),"",O291*'Facturas y gastos'!$B$5+P291)</f>
        <v/>
      </c>
      <c r="R291" s="8" t="str">
        <f t="shared" si="9"/>
        <v/>
      </c>
    </row>
    <row r="292" spans="1:18">
      <c r="A292" s="25" t="s">
        <v>61</v>
      </c>
      <c r="B292" s="25">
        <v>47</v>
      </c>
      <c r="C292" s="25" t="s">
        <v>439</v>
      </c>
      <c r="D292" s="25" t="s">
        <v>137</v>
      </c>
      <c r="E292" s="25" t="s">
        <v>108</v>
      </c>
      <c r="F292" s="27">
        <v>100</v>
      </c>
      <c r="G292" s="27">
        <v>5</v>
      </c>
      <c r="H292" s="29">
        <v>0.89</v>
      </c>
      <c r="I292" s="29">
        <v>89</v>
      </c>
      <c r="J292" s="8">
        <f>IF(OR(A292="",I292=""),"",IF(SUMIFS($I$8:$I$657,$A$8:$A$657,A292)=0,"",I292*SUMIFS('Facturas y gastos'!$D$10:$D$13,'Facturas y gastos'!$A$10:$A$13,A292)/SUMIFS($I$8:$I$657,$A$8:$A$657,A292)))</f>
        <v>88.999977629394493</v>
      </c>
      <c r="K292" s="8">
        <f>IF(J292="","",IF(SUMIFS('Facturas y gastos'!$D$10:$D$13,'Facturas y gastos'!$A$10:$A$13,A292)=0,"",J292*SUMIFS('Facturas y gastos'!$G$10:$G$13,'Facturas y gastos'!$A$10:$A$13,A292)/SUMIFS('Facturas y gastos'!$D$10:$D$13,'Facturas y gastos'!$A$10:$A$13,A292)))</f>
        <v>0.88999217028806576</v>
      </c>
      <c r="L292" s="8">
        <f>IF(J292="","",IF(SUMIFS('Facturas y gastos'!$D$10:$D$13,'Facturas y gastos'!$A$10:$A$13,A292)=0,"",J292*SUMIFS('Facturas y gastos'!$H$10:$H$13,'Facturas y gastos'!$A$10:$A$13,A292)/SUMIFS('Facturas y gastos'!$D$10:$D$13,'Facturas y gastos'!$A$10:$A$13,A292)))</f>
        <v>2.6699988814697244</v>
      </c>
      <c r="M292" s="8">
        <f>IF(J292="","",IF(SUMIFS('Facturas y gastos'!$D$10:$D$13,'Facturas y gastos'!$A$10:$A$13,A292)=0,"",J292*SUMIFS('Facturas y gastos'!$I$10:$I$13,'Facturas y gastos'!$A$10:$A$13,A292)/SUMIFS('Facturas y gastos'!$D$10:$D$13,'Facturas y gastos'!$A$10:$A$13,A292)))</f>
        <v>17.672778366367684</v>
      </c>
      <c r="N292" s="8">
        <f>IF(J292="","",IF(SUMIFS('Facturas y gastos'!$D$10:$D$13,'Facturas y gastos'!$A$10:$A$13,A292)=0,"",J292*SUMIFS('Facturas y gastos'!$J$10:$J$13,'Facturas y gastos'!$A$10:$A$13,A292)/SUMIFS('Facturas y gastos'!$D$10:$D$13,'Facturas y gastos'!$A$10:$A$13,A292)))</f>
        <v>0</v>
      </c>
      <c r="O292" s="8">
        <f t="shared" si="8"/>
        <v>108.45276270694383</v>
      </c>
      <c r="P292" s="8" t="str">
        <f>IF(OR(O292="",'Facturas y gastos'!$B$24="",'Facturas y gastos'!$B$45&lt;&gt;"OK",SUM($O$8:$O$657)=0),"",O292*'Facturas y gastos'!$B$43/SUM($O$8:$O$657))</f>
        <v/>
      </c>
      <c r="Q292" s="8" t="str">
        <f>IF(OR(O292="",'Facturas y gastos'!$B$5="",P292=""),"",O292*'Facturas y gastos'!$B$5+P292)</f>
        <v/>
      </c>
      <c r="R292" s="8" t="str">
        <f t="shared" si="9"/>
        <v/>
      </c>
    </row>
    <row r="293" spans="1:18">
      <c r="A293" s="25" t="s">
        <v>61</v>
      </c>
      <c r="B293" s="25">
        <v>48</v>
      </c>
      <c r="C293" s="25" t="s">
        <v>440</v>
      </c>
      <c r="D293" s="25" t="s">
        <v>137</v>
      </c>
      <c r="E293" s="25" t="s">
        <v>108</v>
      </c>
      <c r="F293" s="27">
        <v>240</v>
      </c>
      <c r="G293" s="27">
        <v>3</v>
      </c>
      <c r="H293" s="29">
        <v>0.25</v>
      </c>
      <c r="I293" s="29">
        <v>60</v>
      </c>
      <c r="J293" s="8">
        <f>IF(OR(A293="",I293=""),"",IF(SUMIFS($I$8:$I$657,$A$8:$A$657,A293)=0,"",I293*SUMIFS('Facturas y gastos'!$D$10:$D$13,'Facturas y gastos'!$A$10:$A$13,A293)/SUMIFS($I$8:$I$657,$A$8:$A$657,A293)))</f>
        <v>59.999984918692917</v>
      </c>
      <c r="K293" s="8">
        <f>IF(J293="","",IF(SUMIFS('Facturas y gastos'!$D$10:$D$13,'Facturas y gastos'!$A$10:$A$13,A293)=0,"",J293*SUMIFS('Facturas y gastos'!$G$10:$G$13,'Facturas y gastos'!$A$10:$A$13,A293)/SUMIFS('Facturas y gastos'!$D$10:$D$13,'Facturas y gastos'!$A$10:$A$13,A293)))</f>
        <v>0.59999472154251621</v>
      </c>
      <c r="L293" s="8">
        <f>IF(J293="","",IF(SUMIFS('Facturas y gastos'!$D$10:$D$13,'Facturas y gastos'!$A$10:$A$13,A293)=0,"",J293*SUMIFS('Facturas y gastos'!$H$10:$H$13,'Facturas y gastos'!$A$10:$A$13,A293)/SUMIFS('Facturas y gastos'!$D$10:$D$13,'Facturas y gastos'!$A$10:$A$13,A293)))</f>
        <v>1.7999992459346457</v>
      </c>
      <c r="M293" s="8">
        <f>IF(J293="","",IF(SUMIFS('Facturas y gastos'!$D$10:$D$13,'Facturas y gastos'!$A$10:$A$13,A293)=0,"",J293*SUMIFS('Facturas y gastos'!$I$10:$I$13,'Facturas y gastos'!$A$10:$A$13,A293)/SUMIFS('Facturas y gastos'!$D$10:$D$13,'Facturas y gastos'!$A$10:$A$13,A293)))</f>
        <v>11.914232606540013</v>
      </c>
      <c r="N293" s="8">
        <f>IF(J293="","",IF(SUMIFS('Facturas y gastos'!$D$10:$D$13,'Facturas y gastos'!$A$10:$A$13,A293)=0,"",J293*SUMIFS('Facturas y gastos'!$J$10:$J$13,'Facturas y gastos'!$A$10:$A$13,A293)/SUMIFS('Facturas y gastos'!$D$10:$D$13,'Facturas y gastos'!$A$10:$A$13,A293)))</f>
        <v>0</v>
      </c>
      <c r="O293" s="8">
        <f t="shared" si="8"/>
        <v>73.114222049625056</v>
      </c>
      <c r="P293" s="8" t="str">
        <f>IF(OR(O293="",'Facturas y gastos'!$B$24="",'Facturas y gastos'!$B$45&lt;&gt;"OK",SUM($O$8:$O$657)=0),"",O293*'Facturas y gastos'!$B$43/SUM($O$8:$O$657))</f>
        <v/>
      </c>
      <c r="Q293" s="8" t="str">
        <f>IF(OR(O293="",'Facturas y gastos'!$B$5="",P293=""),"",O293*'Facturas y gastos'!$B$5+P293)</f>
        <v/>
      </c>
      <c r="R293" s="8" t="str">
        <f t="shared" si="9"/>
        <v/>
      </c>
    </row>
    <row r="294" spans="1:18">
      <c r="A294" s="25" t="s">
        <v>61</v>
      </c>
      <c r="B294" s="25">
        <v>49</v>
      </c>
      <c r="C294" s="25" t="s">
        <v>441</v>
      </c>
      <c r="D294" s="25" t="s">
        <v>137</v>
      </c>
      <c r="E294" s="25" t="s">
        <v>108</v>
      </c>
      <c r="F294" s="27">
        <v>300</v>
      </c>
      <c r="G294" s="27">
        <v>5</v>
      </c>
      <c r="H294" s="29">
        <v>0.28999999999999998</v>
      </c>
      <c r="I294" s="29">
        <v>87</v>
      </c>
      <c r="J294" s="8">
        <f>IF(OR(A294="",I294=""),"",IF(SUMIFS($I$8:$I$657,$A$8:$A$657,A294)=0,"",I294*SUMIFS('Facturas y gastos'!$D$10:$D$13,'Facturas y gastos'!$A$10:$A$13,A294)/SUMIFS($I$8:$I$657,$A$8:$A$657,A294)))</f>
        <v>86.999978132104715</v>
      </c>
      <c r="K294" s="8">
        <f>IF(J294="","",IF(SUMIFS('Facturas y gastos'!$D$10:$D$13,'Facturas y gastos'!$A$10:$A$13,A294)=0,"",J294*SUMIFS('Facturas y gastos'!$G$10:$G$13,'Facturas y gastos'!$A$10:$A$13,A294)/SUMIFS('Facturas y gastos'!$D$10:$D$13,'Facturas y gastos'!$A$10:$A$13,A294)))</f>
        <v>0.86999234623664845</v>
      </c>
      <c r="L294" s="8">
        <f>IF(J294="","",IF(SUMIFS('Facturas y gastos'!$D$10:$D$13,'Facturas y gastos'!$A$10:$A$13,A294)=0,"",J294*SUMIFS('Facturas y gastos'!$H$10:$H$13,'Facturas y gastos'!$A$10:$A$13,A294)/SUMIFS('Facturas y gastos'!$D$10:$D$13,'Facturas y gastos'!$A$10:$A$13,A294)))</f>
        <v>2.6099989066052358</v>
      </c>
      <c r="M294" s="8">
        <f>IF(J294="","",IF(SUMIFS('Facturas y gastos'!$D$10:$D$13,'Facturas y gastos'!$A$10:$A$13,A294)=0,"",J294*SUMIFS('Facturas y gastos'!$I$10:$I$13,'Facturas y gastos'!$A$10:$A$13,A294)/SUMIFS('Facturas y gastos'!$D$10:$D$13,'Facturas y gastos'!$A$10:$A$13,A294)))</f>
        <v>17.275637279483018</v>
      </c>
      <c r="N294" s="8">
        <f>IF(J294="","",IF(SUMIFS('Facturas y gastos'!$D$10:$D$13,'Facturas y gastos'!$A$10:$A$13,A294)=0,"",J294*SUMIFS('Facturas y gastos'!$J$10:$J$13,'Facturas y gastos'!$A$10:$A$13,A294)/SUMIFS('Facturas y gastos'!$D$10:$D$13,'Facturas y gastos'!$A$10:$A$13,A294)))</f>
        <v>0</v>
      </c>
      <c r="O294" s="8">
        <f t="shared" si="8"/>
        <v>106.01562197195634</v>
      </c>
      <c r="P294" s="8" t="str">
        <f>IF(OR(O294="",'Facturas y gastos'!$B$24="",'Facturas y gastos'!$B$45&lt;&gt;"OK",SUM($O$8:$O$657)=0),"",O294*'Facturas y gastos'!$B$43/SUM($O$8:$O$657))</f>
        <v/>
      </c>
      <c r="Q294" s="8" t="str">
        <f>IF(OR(O294="",'Facturas y gastos'!$B$5="",P294=""),"",O294*'Facturas y gastos'!$B$5+P294)</f>
        <v/>
      </c>
      <c r="R294" s="8" t="str">
        <f t="shared" si="9"/>
        <v/>
      </c>
    </row>
    <row r="295" spans="1:18">
      <c r="A295" s="25" t="s">
        <v>61</v>
      </c>
      <c r="B295" s="25">
        <v>50</v>
      </c>
      <c r="C295" s="25" t="s">
        <v>442</v>
      </c>
      <c r="D295" s="25" t="s">
        <v>137</v>
      </c>
      <c r="E295" s="25" t="s">
        <v>108</v>
      </c>
      <c r="F295" s="27">
        <v>200</v>
      </c>
      <c r="G295" s="27">
        <v>5</v>
      </c>
      <c r="H295" s="29">
        <v>0.34</v>
      </c>
      <c r="I295" s="29">
        <v>68</v>
      </c>
      <c r="J295" s="8">
        <f>IF(OR(A295="",I295=""),"",IF(SUMIFS($I$8:$I$657,$A$8:$A$657,A295)=0,"",I295*SUMIFS('Facturas y gastos'!$D$10:$D$13,'Facturas y gastos'!$A$10:$A$13,A295)/SUMIFS($I$8:$I$657,$A$8:$A$657,A295)))</f>
        <v>67.999982907851958</v>
      </c>
      <c r="K295" s="8">
        <f>IF(J295="","",IF(SUMIFS('Facturas y gastos'!$D$10:$D$13,'Facturas y gastos'!$A$10:$A$13,A295)=0,"",J295*SUMIFS('Facturas y gastos'!$G$10:$G$13,'Facturas y gastos'!$A$10:$A$13,A295)/SUMIFS('Facturas y gastos'!$D$10:$D$13,'Facturas y gastos'!$A$10:$A$13,A295)))</f>
        <v>0.67999401774818502</v>
      </c>
      <c r="L295" s="8">
        <f>IF(J295="","",IF(SUMIFS('Facturas y gastos'!$D$10:$D$13,'Facturas y gastos'!$A$10:$A$13,A295)=0,"",J295*SUMIFS('Facturas y gastos'!$H$10:$H$13,'Facturas y gastos'!$A$10:$A$13,A295)/SUMIFS('Facturas y gastos'!$D$10:$D$13,'Facturas y gastos'!$A$10:$A$13,A295)))</f>
        <v>2.0399991453925979</v>
      </c>
      <c r="M295" s="8">
        <f>IF(J295="","",IF(SUMIFS('Facturas y gastos'!$D$10:$D$13,'Facturas y gastos'!$A$10:$A$13,A295)=0,"",J295*SUMIFS('Facturas y gastos'!$I$10:$I$13,'Facturas y gastos'!$A$10:$A$13,A295)/SUMIFS('Facturas y gastos'!$D$10:$D$13,'Facturas y gastos'!$A$10:$A$13,A295)))</f>
        <v>13.502796954078679</v>
      </c>
      <c r="N295" s="8">
        <f>IF(J295="","",IF(SUMIFS('Facturas y gastos'!$D$10:$D$13,'Facturas y gastos'!$A$10:$A$13,A295)=0,"",J295*SUMIFS('Facturas y gastos'!$J$10:$J$13,'Facturas y gastos'!$A$10:$A$13,A295)/SUMIFS('Facturas y gastos'!$D$10:$D$13,'Facturas y gastos'!$A$10:$A$13,A295)))</f>
        <v>0</v>
      </c>
      <c r="O295" s="8">
        <f t="shared" si="8"/>
        <v>82.862784989575047</v>
      </c>
      <c r="P295" s="8" t="str">
        <f>IF(OR(O295="",'Facturas y gastos'!$B$24="",'Facturas y gastos'!$B$45&lt;&gt;"OK",SUM($O$8:$O$657)=0),"",O295*'Facturas y gastos'!$B$43/SUM($O$8:$O$657))</f>
        <v/>
      </c>
      <c r="Q295" s="8" t="str">
        <f>IF(OR(O295="",'Facturas y gastos'!$B$5="",P295=""),"",O295*'Facturas y gastos'!$B$5+P295)</f>
        <v/>
      </c>
      <c r="R295" s="8" t="str">
        <f t="shared" si="9"/>
        <v/>
      </c>
    </row>
    <row r="296" spans="1:18">
      <c r="A296" s="25" t="s">
        <v>61</v>
      </c>
      <c r="B296" s="25">
        <v>51</v>
      </c>
      <c r="C296" s="25" t="s">
        <v>443</v>
      </c>
      <c r="D296" s="25" t="s">
        <v>137</v>
      </c>
      <c r="E296" s="25" t="s">
        <v>108</v>
      </c>
      <c r="F296" s="27">
        <v>175</v>
      </c>
      <c r="G296" s="27">
        <v>5</v>
      </c>
      <c r="H296" s="29">
        <v>0.49</v>
      </c>
      <c r="I296" s="29">
        <v>85.75</v>
      </c>
      <c r="J296" s="8">
        <f>IF(OR(A296="",I296=""),"",IF(SUMIFS($I$8:$I$657,$A$8:$A$657,A296)=0,"",I296*SUMIFS('Facturas y gastos'!$D$10:$D$13,'Facturas y gastos'!$A$10:$A$13,A296)/SUMIFS($I$8:$I$657,$A$8:$A$657,A296)))</f>
        <v>85.749978446298627</v>
      </c>
      <c r="K296" s="8">
        <f>IF(J296="","",IF(SUMIFS('Facturas y gastos'!$D$10:$D$13,'Facturas y gastos'!$A$10:$A$13,A296)=0,"",J296*SUMIFS('Facturas y gastos'!$G$10:$G$13,'Facturas y gastos'!$A$10:$A$13,A296)/SUMIFS('Facturas y gastos'!$D$10:$D$13,'Facturas y gastos'!$A$10:$A$13,A296)))</f>
        <v>0.85749245620451275</v>
      </c>
      <c r="L296" s="8">
        <f>IF(J296="","",IF(SUMIFS('Facturas y gastos'!$D$10:$D$13,'Facturas y gastos'!$A$10:$A$13,A296)=0,"",J296*SUMIFS('Facturas y gastos'!$H$10:$H$13,'Facturas y gastos'!$A$10:$A$13,A296)/SUMIFS('Facturas y gastos'!$D$10:$D$13,'Facturas y gastos'!$A$10:$A$13,A296)))</f>
        <v>2.572498922314931</v>
      </c>
      <c r="M296" s="8">
        <f>IF(J296="","",IF(SUMIFS('Facturas y gastos'!$D$10:$D$13,'Facturas y gastos'!$A$10:$A$13,A296)=0,"",J296*SUMIFS('Facturas y gastos'!$I$10:$I$13,'Facturas y gastos'!$A$10:$A$13,A296)/SUMIFS('Facturas y gastos'!$D$10:$D$13,'Facturas y gastos'!$A$10:$A$13,A296)))</f>
        <v>17.027424100180099</v>
      </c>
      <c r="N296" s="8">
        <f>IF(J296="","",IF(SUMIFS('Facturas y gastos'!$D$10:$D$13,'Facturas y gastos'!$A$10:$A$13,A296)=0,"",J296*SUMIFS('Facturas y gastos'!$J$10:$J$13,'Facturas y gastos'!$A$10:$A$13,A296)/SUMIFS('Facturas y gastos'!$D$10:$D$13,'Facturas y gastos'!$A$10:$A$13,A296)))</f>
        <v>0</v>
      </c>
      <c r="O296" s="8">
        <f t="shared" si="8"/>
        <v>104.49240901258915</v>
      </c>
      <c r="P296" s="8" t="str">
        <f>IF(OR(O296="",'Facturas y gastos'!$B$24="",'Facturas y gastos'!$B$45&lt;&gt;"OK",SUM($O$8:$O$657)=0),"",O296*'Facturas y gastos'!$B$43/SUM($O$8:$O$657))</f>
        <v/>
      </c>
      <c r="Q296" s="8" t="str">
        <f>IF(OR(O296="",'Facturas y gastos'!$B$5="",P296=""),"",O296*'Facturas y gastos'!$B$5+P296)</f>
        <v/>
      </c>
      <c r="R296" s="8" t="str">
        <f t="shared" si="9"/>
        <v/>
      </c>
    </row>
    <row r="297" spans="1:18">
      <c r="A297" s="25" t="s">
        <v>61</v>
      </c>
      <c r="B297" s="25">
        <v>52</v>
      </c>
      <c r="C297" s="25" t="s">
        <v>444</v>
      </c>
      <c r="D297" s="25" t="s">
        <v>137</v>
      </c>
      <c r="E297" s="25" t="s">
        <v>108</v>
      </c>
      <c r="F297" s="27">
        <v>184</v>
      </c>
      <c r="G297" s="27">
        <v>8</v>
      </c>
      <c r="H297" s="29">
        <v>0.89</v>
      </c>
      <c r="I297" s="29">
        <v>163.76</v>
      </c>
      <c r="J297" s="8">
        <f>IF(OR(A297="",I297=""),"",IF(SUMIFS($I$8:$I$657,$A$8:$A$657,A297)=0,"",I297*SUMIFS('Facturas y gastos'!$D$10:$D$13,'Facturas y gastos'!$A$10:$A$13,A297)/SUMIFS($I$8:$I$657,$A$8:$A$657,A297)))</f>
        <v>163.75995883808585</v>
      </c>
      <c r="K297" s="8">
        <f>IF(J297="","",IF(SUMIFS('Facturas y gastos'!$D$10:$D$13,'Facturas y gastos'!$A$10:$A$13,A297)=0,"",J297*SUMIFS('Facturas y gastos'!$G$10:$G$13,'Facturas y gastos'!$A$10:$A$13,A297)/SUMIFS('Facturas y gastos'!$D$10:$D$13,'Facturas y gastos'!$A$10:$A$13,A297)))</f>
        <v>1.6375855933300407</v>
      </c>
      <c r="L297" s="8">
        <f>IF(J297="","",IF(SUMIFS('Facturas y gastos'!$D$10:$D$13,'Facturas y gastos'!$A$10:$A$13,A297)=0,"",J297*SUMIFS('Facturas y gastos'!$H$10:$H$13,'Facturas y gastos'!$A$10:$A$13,A297)/SUMIFS('Facturas y gastos'!$D$10:$D$13,'Facturas y gastos'!$A$10:$A$13,A297)))</f>
        <v>4.9127979419042926</v>
      </c>
      <c r="M297" s="8">
        <f>IF(J297="","",IF(SUMIFS('Facturas y gastos'!$D$10:$D$13,'Facturas y gastos'!$A$10:$A$13,A297)=0,"",J297*SUMIFS('Facturas y gastos'!$I$10:$I$13,'Facturas y gastos'!$A$10:$A$13,A297)/SUMIFS('Facturas y gastos'!$D$10:$D$13,'Facturas y gastos'!$A$10:$A$13,A297)))</f>
        <v>32.517912194116541</v>
      </c>
      <c r="N297" s="8">
        <f>IF(J297="","",IF(SUMIFS('Facturas y gastos'!$D$10:$D$13,'Facturas y gastos'!$A$10:$A$13,A297)=0,"",J297*SUMIFS('Facturas y gastos'!$J$10:$J$13,'Facturas y gastos'!$A$10:$A$13,A297)/SUMIFS('Facturas y gastos'!$D$10:$D$13,'Facturas y gastos'!$A$10:$A$13,A297)))</f>
        <v>0</v>
      </c>
      <c r="O297" s="8">
        <f t="shared" si="8"/>
        <v>199.55308338077666</v>
      </c>
      <c r="P297" s="8" t="str">
        <f>IF(OR(O297="",'Facturas y gastos'!$B$24="",'Facturas y gastos'!$B$45&lt;&gt;"OK",SUM($O$8:$O$657)=0),"",O297*'Facturas y gastos'!$B$43/SUM($O$8:$O$657))</f>
        <v/>
      </c>
      <c r="Q297" s="8" t="str">
        <f>IF(OR(O297="",'Facturas y gastos'!$B$5="",P297=""),"",O297*'Facturas y gastos'!$B$5+P297)</f>
        <v/>
      </c>
      <c r="R297" s="8" t="str">
        <f t="shared" si="9"/>
        <v/>
      </c>
    </row>
    <row r="298" spans="1:18">
      <c r="A298" s="25" t="s">
        <v>61</v>
      </c>
      <c r="B298" s="25">
        <v>53</v>
      </c>
      <c r="C298" s="25" t="s">
        <v>445</v>
      </c>
      <c r="D298" s="25" t="s">
        <v>137</v>
      </c>
      <c r="E298" s="25" t="s">
        <v>108</v>
      </c>
      <c r="F298" s="27">
        <v>90</v>
      </c>
      <c r="G298" s="27">
        <v>3</v>
      </c>
      <c r="H298" s="29">
        <v>0.7</v>
      </c>
      <c r="I298" s="29">
        <v>63</v>
      </c>
      <c r="J298" s="8">
        <f>IF(OR(A298="",I298=""),"",IF(SUMIFS($I$8:$I$657,$A$8:$A$657,A298)=0,"",I298*SUMIFS('Facturas y gastos'!$D$10:$D$13,'Facturas y gastos'!$A$10:$A$13,A298)/SUMIFS($I$8:$I$657,$A$8:$A$657,A298)))</f>
        <v>62.999984164627563</v>
      </c>
      <c r="K298" s="8">
        <f>IF(J298="","",IF(SUMIFS('Facturas y gastos'!$D$10:$D$13,'Facturas y gastos'!$A$10:$A$13,A298)=0,"",J298*SUMIFS('Facturas y gastos'!$G$10:$G$13,'Facturas y gastos'!$A$10:$A$13,A298)/SUMIFS('Facturas y gastos'!$D$10:$D$13,'Facturas y gastos'!$A$10:$A$13,A298)))</f>
        <v>0.62999445761964212</v>
      </c>
      <c r="L298" s="8">
        <f>IF(J298="","",IF(SUMIFS('Facturas y gastos'!$D$10:$D$13,'Facturas y gastos'!$A$10:$A$13,A298)=0,"",J298*SUMIFS('Facturas y gastos'!$H$10:$H$13,'Facturas y gastos'!$A$10:$A$13,A298)/SUMIFS('Facturas y gastos'!$D$10:$D$13,'Facturas y gastos'!$A$10:$A$13,A298)))</f>
        <v>1.8899992082313779</v>
      </c>
      <c r="M298" s="8">
        <f>IF(J298="","",IF(SUMIFS('Facturas y gastos'!$D$10:$D$13,'Facturas y gastos'!$A$10:$A$13,A298)=0,"",J298*SUMIFS('Facturas y gastos'!$I$10:$I$13,'Facturas y gastos'!$A$10:$A$13,A298)/SUMIFS('Facturas y gastos'!$D$10:$D$13,'Facturas y gastos'!$A$10:$A$13,A298)))</f>
        <v>12.509944236867014</v>
      </c>
      <c r="N298" s="8">
        <f>IF(J298="","",IF(SUMIFS('Facturas y gastos'!$D$10:$D$13,'Facturas y gastos'!$A$10:$A$13,A298)=0,"",J298*SUMIFS('Facturas y gastos'!$J$10:$J$13,'Facturas y gastos'!$A$10:$A$13,A298)/SUMIFS('Facturas y gastos'!$D$10:$D$13,'Facturas y gastos'!$A$10:$A$13,A298)))</f>
        <v>0</v>
      </c>
      <c r="O298" s="8">
        <f t="shared" si="8"/>
        <v>76.769933152106304</v>
      </c>
      <c r="P298" s="8" t="str">
        <f>IF(OR(O298="",'Facturas y gastos'!$B$24="",'Facturas y gastos'!$B$45&lt;&gt;"OK",SUM($O$8:$O$657)=0),"",O298*'Facturas y gastos'!$B$43/SUM($O$8:$O$657))</f>
        <v/>
      </c>
      <c r="Q298" s="8" t="str">
        <f>IF(OR(O298="",'Facturas y gastos'!$B$5="",P298=""),"",O298*'Facturas y gastos'!$B$5+P298)</f>
        <v/>
      </c>
      <c r="R298" s="8" t="str">
        <f t="shared" si="9"/>
        <v/>
      </c>
    </row>
    <row r="299" spans="1:18">
      <c r="A299" s="25" t="s">
        <v>61</v>
      </c>
      <c r="B299" s="25">
        <v>54</v>
      </c>
      <c r="C299" s="25" t="s">
        <v>446</v>
      </c>
      <c r="D299" s="25" t="s">
        <v>394</v>
      </c>
      <c r="E299" s="25" t="s">
        <v>108</v>
      </c>
      <c r="F299" s="27">
        <v>150</v>
      </c>
      <c r="G299" s="27">
        <v>3</v>
      </c>
      <c r="H299" s="29">
        <v>0.47</v>
      </c>
      <c r="I299" s="29">
        <v>70.5</v>
      </c>
      <c r="J299" s="8">
        <f>IF(OR(A299="",I299=""),"",IF(SUMIFS($I$8:$I$657,$A$8:$A$657,A299)=0,"",I299*SUMIFS('Facturas y gastos'!$D$10:$D$13,'Facturas y gastos'!$A$10:$A$13,A299)/SUMIFS($I$8:$I$657,$A$8:$A$657,A299)))</f>
        <v>70.499982279464163</v>
      </c>
      <c r="K299" s="8">
        <f>IF(J299="","",IF(SUMIFS('Facturas y gastos'!$D$10:$D$13,'Facturas y gastos'!$A$10:$A$13,A299)=0,"",J299*SUMIFS('Facturas y gastos'!$G$10:$G$13,'Facturas y gastos'!$A$10:$A$13,A299)/SUMIFS('Facturas y gastos'!$D$10:$D$13,'Facturas y gastos'!$A$10:$A$13,A299)))</f>
        <v>0.70499379781245641</v>
      </c>
      <c r="L299" s="8">
        <f>IF(J299="","",IF(SUMIFS('Facturas y gastos'!$D$10:$D$13,'Facturas y gastos'!$A$10:$A$13,A299)=0,"",J299*SUMIFS('Facturas y gastos'!$H$10:$H$13,'Facturas y gastos'!$A$10:$A$13,A299)/SUMIFS('Facturas y gastos'!$D$10:$D$13,'Facturas y gastos'!$A$10:$A$13,A299)))</f>
        <v>2.1149991139732083</v>
      </c>
      <c r="M299" s="8">
        <f>IF(J299="","",IF(SUMIFS('Facturas y gastos'!$D$10:$D$13,'Facturas y gastos'!$A$10:$A$13,A299)=0,"",J299*SUMIFS('Facturas y gastos'!$I$10:$I$13,'Facturas y gastos'!$A$10:$A$13,A299)/SUMIFS('Facturas y gastos'!$D$10:$D$13,'Facturas y gastos'!$A$10:$A$13,A299)))</f>
        <v>13.999223312684512</v>
      </c>
      <c r="N299" s="8">
        <f>IF(J299="","",IF(SUMIFS('Facturas y gastos'!$D$10:$D$13,'Facturas y gastos'!$A$10:$A$13,A299)=0,"",J299*SUMIFS('Facturas y gastos'!$J$10:$J$13,'Facturas y gastos'!$A$10:$A$13,A299)/SUMIFS('Facturas y gastos'!$D$10:$D$13,'Facturas y gastos'!$A$10:$A$13,A299)))</f>
        <v>0</v>
      </c>
      <c r="O299" s="8">
        <f t="shared" si="8"/>
        <v>85.909210908309419</v>
      </c>
      <c r="P299" s="8" t="str">
        <f>IF(OR(O299="",'Facturas y gastos'!$B$24="",'Facturas y gastos'!$B$45&lt;&gt;"OK",SUM($O$8:$O$657)=0),"",O299*'Facturas y gastos'!$B$43/SUM($O$8:$O$657))</f>
        <v/>
      </c>
      <c r="Q299" s="8" t="str">
        <f>IF(OR(O299="",'Facturas y gastos'!$B$5="",P299=""),"",O299*'Facturas y gastos'!$B$5+P299)</f>
        <v/>
      </c>
      <c r="R299" s="8" t="str">
        <f t="shared" si="9"/>
        <v/>
      </c>
    </row>
    <row r="300" spans="1:18">
      <c r="A300" s="25" t="s">
        <v>61</v>
      </c>
      <c r="B300" s="25">
        <v>55</v>
      </c>
      <c r="C300" s="25" t="s">
        <v>447</v>
      </c>
      <c r="D300" s="25" t="s">
        <v>394</v>
      </c>
      <c r="E300" s="25" t="s">
        <v>108</v>
      </c>
      <c r="F300" s="27">
        <v>180</v>
      </c>
      <c r="G300" s="27">
        <v>3</v>
      </c>
      <c r="H300" s="29">
        <v>0.37</v>
      </c>
      <c r="I300" s="29">
        <v>66.599999999999994</v>
      </c>
      <c r="J300" s="8">
        <f>IF(OR(A300="",I300=""),"",IF(SUMIFS($I$8:$I$657,$A$8:$A$657,A300)=0,"",I300*SUMIFS('Facturas y gastos'!$D$10:$D$13,'Facturas y gastos'!$A$10:$A$13,A300)/SUMIFS($I$8:$I$657,$A$8:$A$657,A300)))</f>
        <v>66.599983259749138</v>
      </c>
      <c r="K300" s="8">
        <f>IF(J300="","",IF(SUMIFS('Facturas y gastos'!$D$10:$D$13,'Facturas y gastos'!$A$10:$A$13,A300)=0,"",J300*SUMIFS('Facturas y gastos'!$G$10:$G$13,'Facturas y gastos'!$A$10:$A$13,A300)/SUMIFS('Facturas y gastos'!$D$10:$D$13,'Facturas y gastos'!$A$10:$A$13,A300)))</f>
        <v>0.665994140912193</v>
      </c>
      <c r="L300" s="8">
        <f>IF(J300="","",IF(SUMIFS('Facturas y gastos'!$D$10:$D$13,'Facturas y gastos'!$A$10:$A$13,A300)=0,"",J300*SUMIFS('Facturas y gastos'!$H$10:$H$13,'Facturas y gastos'!$A$10:$A$13,A300)/SUMIFS('Facturas y gastos'!$D$10:$D$13,'Facturas y gastos'!$A$10:$A$13,A300)))</f>
        <v>1.9979991629874567</v>
      </c>
      <c r="M300" s="8">
        <f>IF(J300="","",IF(SUMIFS('Facturas y gastos'!$D$10:$D$13,'Facturas y gastos'!$A$10:$A$13,A300)=0,"",J300*SUMIFS('Facturas y gastos'!$I$10:$I$13,'Facturas y gastos'!$A$10:$A$13,A300)/SUMIFS('Facturas y gastos'!$D$10:$D$13,'Facturas y gastos'!$A$10:$A$13,A300)))</f>
        <v>13.224798193259414</v>
      </c>
      <c r="N300" s="8">
        <f>IF(J300="","",IF(SUMIFS('Facturas y gastos'!$D$10:$D$13,'Facturas y gastos'!$A$10:$A$13,A300)=0,"",J300*SUMIFS('Facturas y gastos'!$J$10:$J$13,'Facturas y gastos'!$A$10:$A$13,A300)/SUMIFS('Facturas y gastos'!$D$10:$D$13,'Facturas y gastos'!$A$10:$A$13,A300)))</f>
        <v>0</v>
      </c>
      <c r="O300" s="8">
        <f t="shared" si="8"/>
        <v>81.15678647508382</v>
      </c>
      <c r="P300" s="8" t="str">
        <f>IF(OR(O300="",'Facturas y gastos'!$B$24="",'Facturas y gastos'!$B$45&lt;&gt;"OK",SUM($O$8:$O$657)=0),"",O300*'Facturas y gastos'!$B$43/SUM($O$8:$O$657))</f>
        <v/>
      </c>
      <c r="Q300" s="8" t="str">
        <f>IF(OR(O300="",'Facturas y gastos'!$B$5="",P300=""),"",O300*'Facturas y gastos'!$B$5+P300)</f>
        <v/>
      </c>
      <c r="R300" s="8" t="str">
        <f t="shared" si="9"/>
        <v/>
      </c>
    </row>
    <row r="301" spans="1:18">
      <c r="A301" s="25" t="s">
        <v>61</v>
      </c>
      <c r="B301" s="25">
        <v>56</v>
      </c>
      <c r="C301" s="25" t="s">
        <v>448</v>
      </c>
      <c r="D301" s="25" t="s">
        <v>394</v>
      </c>
      <c r="E301" s="25" t="s">
        <v>108</v>
      </c>
      <c r="F301" s="27">
        <v>180</v>
      </c>
      <c r="G301" s="27">
        <v>6</v>
      </c>
      <c r="H301" s="29">
        <v>0.63</v>
      </c>
      <c r="I301" s="29">
        <v>113.4</v>
      </c>
      <c r="J301" s="8">
        <f>IF(OR(A301="",I301=""),"",IF(SUMIFS($I$8:$I$657,$A$8:$A$657,A301)=0,"",I301*SUMIFS('Facturas y gastos'!$D$10:$D$13,'Facturas y gastos'!$A$10:$A$13,A301)/SUMIFS($I$8:$I$657,$A$8:$A$657,A301)))</f>
        <v>113.3999714963296</v>
      </c>
      <c r="K301" s="8">
        <f>IF(J301="","",IF(SUMIFS('Facturas y gastos'!$D$10:$D$13,'Facturas y gastos'!$A$10:$A$13,A301)=0,"",J301*SUMIFS('Facturas y gastos'!$G$10:$G$13,'Facturas y gastos'!$A$10:$A$13,A301)/SUMIFS('Facturas y gastos'!$D$10:$D$13,'Facturas y gastos'!$A$10:$A$13,A301)))</f>
        <v>1.1339900237153557</v>
      </c>
      <c r="L301" s="8">
        <f>IF(J301="","",IF(SUMIFS('Facturas y gastos'!$D$10:$D$13,'Facturas y gastos'!$A$10:$A$13,A301)=0,"",J301*SUMIFS('Facturas y gastos'!$H$10:$H$13,'Facturas y gastos'!$A$10:$A$13,A301)/SUMIFS('Facturas y gastos'!$D$10:$D$13,'Facturas y gastos'!$A$10:$A$13,A301)))</f>
        <v>3.40199857481648</v>
      </c>
      <c r="M301" s="8">
        <f>IF(J301="","",IF(SUMIFS('Facturas y gastos'!$D$10:$D$13,'Facturas y gastos'!$A$10:$A$13,A301)=0,"",J301*SUMIFS('Facturas y gastos'!$I$10:$I$13,'Facturas y gastos'!$A$10:$A$13,A301)/SUMIFS('Facturas y gastos'!$D$10:$D$13,'Facturas y gastos'!$A$10:$A$13,A301)))</f>
        <v>22.51789962636062</v>
      </c>
      <c r="N301" s="8">
        <f>IF(J301="","",IF(SUMIFS('Facturas y gastos'!$D$10:$D$13,'Facturas y gastos'!$A$10:$A$13,A301)=0,"",J301*SUMIFS('Facturas y gastos'!$J$10:$J$13,'Facturas y gastos'!$A$10:$A$13,A301)/SUMIFS('Facturas y gastos'!$D$10:$D$13,'Facturas y gastos'!$A$10:$A$13,A301)))</f>
        <v>0</v>
      </c>
      <c r="O301" s="8">
        <f t="shared" si="8"/>
        <v>138.18587967379133</v>
      </c>
      <c r="P301" s="8" t="str">
        <f>IF(OR(O301="",'Facturas y gastos'!$B$24="",'Facturas y gastos'!$B$45&lt;&gt;"OK",SUM($O$8:$O$657)=0),"",O301*'Facturas y gastos'!$B$43/SUM($O$8:$O$657))</f>
        <v/>
      </c>
      <c r="Q301" s="8" t="str">
        <f>IF(OR(O301="",'Facturas y gastos'!$B$5="",P301=""),"",O301*'Facturas y gastos'!$B$5+P301)</f>
        <v/>
      </c>
      <c r="R301" s="8" t="str">
        <f t="shared" si="9"/>
        <v/>
      </c>
    </row>
    <row r="302" spans="1:18">
      <c r="A302" s="25" t="s">
        <v>61</v>
      </c>
      <c r="B302" s="25">
        <v>57</v>
      </c>
      <c r="C302" s="25" t="s">
        <v>449</v>
      </c>
      <c r="D302" s="25" t="s">
        <v>450</v>
      </c>
      <c r="E302" s="25" t="s">
        <v>108</v>
      </c>
      <c r="F302" s="27">
        <v>210</v>
      </c>
      <c r="G302" s="27">
        <v>3</v>
      </c>
      <c r="H302" s="29">
        <v>0.28000000000000003</v>
      </c>
      <c r="I302" s="29">
        <v>58.8</v>
      </c>
      <c r="J302" s="8">
        <f>IF(OR(A302="",I302=""),"",IF(SUMIFS($I$8:$I$657,$A$8:$A$657,A302)=0,"",I302*SUMIFS('Facturas y gastos'!$D$10:$D$13,'Facturas y gastos'!$A$10:$A$13,A302)/SUMIFS($I$8:$I$657,$A$8:$A$657,A302)))</f>
        <v>58.799985220319051</v>
      </c>
      <c r="K302" s="8">
        <f>IF(J302="","",IF(SUMIFS('Facturas y gastos'!$D$10:$D$13,'Facturas y gastos'!$A$10:$A$13,A302)=0,"",J302*SUMIFS('Facturas y gastos'!$G$10:$G$13,'Facturas y gastos'!$A$10:$A$13,A302)/SUMIFS('Facturas y gastos'!$D$10:$D$13,'Facturas y gastos'!$A$10:$A$13,A302)))</f>
        <v>0.58799482711166584</v>
      </c>
      <c r="L302" s="8">
        <f>IF(J302="","",IF(SUMIFS('Facturas y gastos'!$D$10:$D$13,'Facturas y gastos'!$A$10:$A$13,A302)=0,"",J302*SUMIFS('Facturas y gastos'!$H$10:$H$13,'Facturas y gastos'!$A$10:$A$13,A302)/SUMIFS('Facturas y gastos'!$D$10:$D$13,'Facturas y gastos'!$A$10:$A$13,A302)))</f>
        <v>1.7639992610159527</v>
      </c>
      <c r="M302" s="8">
        <f>IF(J302="","",IF(SUMIFS('Facturas y gastos'!$D$10:$D$13,'Facturas y gastos'!$A$10:$A$13,A302)=0,"",J302*SUMIFS('Facturas y gastos'!$I$10:$I$13,'Facturas y gastos'!$A$10:$A$13,A302)/SUMIFS('Facturas y gastos'!$D$10:$D$13,'Facturas y gastos'!$A$10:$A$13,A302)))</f>
        <v>11.67594795440921</v>
      </c>
      <c r="N302" s="8">
        <f>IF(J302="","",IF(SUMIFS('Facturas y gastos'!$D$10:$D$13,'Facturas y gastos'!$A$10:$A$13,A302)=0,"",J302*SUMIFS('Facturas y gastos'!$J$10:$J$13,'Facturas y gastos'!$A$10:$A$13,A302)/SUMIFS('Facturas y gastos'!$D$10:$D$13,'Facturas y gastos'!$A$10:$A$13,A302)))</f>
        <v>0</v>
      </c>
      <c r="O302" s="8">
        <f t="shared" si="8"/>
        <v>71.651937608632551</v>
      </c>
      <c r="P302" s="8" t="str">
        <f>IF(OR(O302="",'Facturas y gastos'!$B$24="",'Facturas y gastos'!$B$45&lt;&gt;"OK",SUM($O$8:$O$657)=0),"",O302*'Facturas y gastos'!$B$43/SUM($O$8:$O$657))</f>
        <v/>
      </c>
      <c r="Q302" s="8" t="str">
        <f>IF(OR(O302="",'Facturas y gastos'!$B$5="",P302=""),"",O302*'Facturas y gastos'!$B$5+P302)</f>
        <v/>
      </c>
      <c r="R302" s="8" t="str">
        <f t="shared" si="9"/>
        <v/>
      </c>
    </row>
    <row r="303" spans="1:18">
      <c r="A303" s="25" t="s">
        <v>61</v>
      </c>
      <c r="B303" s="25">
        <v>58</v>
      </c>
      <c r="C303" s="25" t="s">
        <v>451</v>
      </c>
      <c r="D303" s="25" t="s">
        <v>450</v>
      </c>
      <c r="E303" s="25" t="s">
        <v>108</v>
      </c>
      <c r="F303" s="27">
        <v>180</v>
      </c>
      <c r="G303" s="27">
        <v>3</v>
      </c>
      <c r="H303" s="29">
        <v>0.37</v>
      </c>
      <c r="I303" s="29">
        <v>66.599999999999994</v>
      </c>
      <c r="J303" s="8">
        <f>IF(OR(A303="",I303=""),"",IF(SUMIFS($I$8:$I$657,$A$8:$A$657,A303)=0,"",I303*SUMIFS('Facturas y gastos'!$D$10:$D$13,'Facturas y gastos'!$A$10:$A$13,A303)/SUMIFS($I$8:$I$657,$A$8:$A$657,A303)))</f>
        <v>66.599983259749138</v>
      </c>
      <c r="K303" s="8">
        <f>IF(J303="","",IF(SUMIFS('Facturas y gastos'!$D$10:$D$13,'Facturas y gastos'!$A$10:$A$13,A303)=0,"",J303*SUMIFS('Facturas y gastos'!$G$10:$G$13,'Facturas y gastos'!$A$10:$A$13,A303)/SUMIFS('Facturas y gastos'!$D$10:$D$13,'Facturas y gastos'!$A$10:$A$13,A303)))</f>
        <v>0.665994140912193</v>
      </c>
      <c r="L303" s="8">
        <f>IF(J303="","",IF(SUMIFS('Facturas y gastos'!$D$10:$D$13,'Facturas y gastos'!$A$10:$A$13,A303)=0,"",J303*SUMIFS('Facturas y gastos'!$H$10:$H$13,'Facturas y gastos'!$A$10:$A$13,A303)/SUMIFS('Facturas y gastos'!$D$10:$D$13,'Facturas y gastos'!$A$10:$A$13,A303)))</f>
        <v>1.9979991629874567</v>
      </c>
      <c r="M303" s="8">
        <f>IF(J303="","",IF(SUMIFS('Facturas y gastos'!$D$10:$D$13,'Facturas y gastos'!$A$10:$A$13,A303)=0,"",J303*SUMIFS('Facturas y gastos'!$I$10:$I$13,'Facturas y gastos'!$A$10:$A$13,A303)/SUMIFS('Facturas y gastos'!$D$10:$D$13,'Facturas y gastos'!$A$10:$A$13,A303)))</f>
        <v>13.224798193259414</v>
      </c>
      <c r="N303" s="8">
        <f>IF(J303="","",IF(SUMIFS('Facturas y gastos'!$D$10:$D$13,'Facturas y gastos'!$A$10:$A$13,A303)=0,"",J303*SUMIFS('Facturas y gastos'!$J$10:$J$13,'Facturas y gastos'!$A$10:$A$13,A303)/SUMIFS('Facturas y gastos'!$D$10:$D$13,'Facturas y gastos'!$A$10:$A$13,A303)))</f>
        <v>0</v>
      </c>
      <c r="O303" s="8">
        <f t="shared" si="8"/>
        <v>81.15678647508382</v>
      </c>
      <c r="P303" s="8" t="str">
        <f>IF(OR(O303="",'Facturas y gastos'!$B$24="",'Facturas y gastos'!$B$45&lt;&gt;"OK",SUM($O$8:$O$657)=0),"",O303*'Facturas y gastos'!$B$43/SUM($O$8:$O$657))</f>
        <v/>
      </c>
      <c r="Q303" s="8" t="str">
        <f>IF(OR(O303="",'Facturas y gastos'!$B$5="",P303=""),"",O303*'Facturas y gastos'!$B$5+P303)</f>
        <v/>
      </c>
      <c r="R303" s="8" t="str">
        <f t="shared" si="9"/>
        <v/>
      </c>
    </row>
    <row r="304" spans="1:18">
      <c r="A304" s="25" t="s">
        <v>61</v>
      </c>
      <c r="B304" s="25">
        <v>59</v>
      </c>
      <c r="C304" s="25" t="s">
        <v>452</v>
      </c>
      <c r="D304" s="25" t="s">
        <v>450</v>
      </c>
      <c r="E304" s="25" t="s">
        <v>108</v>
      </c>
      <c r="F304" s="27">
        <v>175</v>
      </c>
      <c r="G304" s="27">
        <v>5</v>
      </c>
      <c r="H304" s="29">
        <v>0.67</v>
      </c>
      <c r="I304" s="29">
        <v>117.25</v>
      </c>
      <c r="J304" s="8">
        <f>IF(OR(A304="",I304=""),"",IF(SUMIFS($I$8:$I$657,$A$8:$A$657,A304)=0,"",I304*SUMIFS('Facturas y gastos'!$D$10:$D$13,'Facturas y gastos'!$A$10:$A$13,A304)/SUMIFS($I$8:$I$657,$A$8:$A$657,A304)))</f>
        <v>117.24997052861239</v>
      </c>
      <c r="K304" s="8">
        <f>IF(J304="","",IF(SUMIFS('Facturas y gastos'!$D$10:$D$13,'Facturas y gastos'!$A$10:$A$13,A304)=0,"",J304*SUMIFS('Facturas y gastos'!$G$10:$G$13,'Facturas y gastos'!$A$10:$A$13,A304)/SUMIFS('Facturas y gastos'!$D$10:$D$13,'Facturas y gastos'!$A$10:$A$13,A304)))</f>
        <v>1.1724896850143336</v>
      </c>
      <c r="L304" s="8">
        <f>IF(J304="","",IF(SUMIFS('Facturas y gastos'!$D$10:$D$13,'Facturas y gastos'!$A$10:$A$13,A304)=0,"",J304*SUMIFS('Facturas y gastos'!$H$10:$H$13,'Facturas y gastos'!$A$10:$A$13,A304)/SUMIFS('Facturas y gastos'!$D$10:$D$13,'Facturas y gastos'!$A$10:$A$13,A304)))</f>
        <v>3.5174985264306198</v>
      </c>
      <c r="M304" s="8">
        <f>IF(J304="","",IF(SUMIFS('Facturas y gastos'!$D$10:$D$13,'Facturas y gastos'!$A$10:$A$13,A304)=0,"",J304*SUMIFS('Facturas y gastos'!$I$10:$I$13,'Facturas y gastos'!$A$10:$A$13,A304)/SUMIFS('Facturas y gastos'!$D$10:$D$13,'Facturas y gastos'!$A$10:$A$13,A304)))</f>
        <v>23.282396218613606</v>
      </c>
      <c r="N304" s="8">
        <f>IF(J304="","",IF(SUMIFS('Facturas y gastos'!$D$10:$D$13,'Facturas y gastos'!$A$10:$A$13,A304)=0,"",J304*SUMIFS('Facturas y gastos'!$J$10:$J$13,'Facturas y gastos'!$A$10:$A$13,A304)/SUMIFS('Facturas y gastos'!$D$10:$D$13,'Facturas y gastos'!$A$10:$A$13,A304)))</f>
        <v>0</v>
      </c>
      <c r="O304" s="8">
        <f t="shared" si="8"/>
        <v>142.87737558864228</v>
      </c>
      <c r="P304" s="8" t="str">
        <f>IF(OR(O304="",'Facturas y gastos'!$B$24="",'Facturas y gastos'!$B$45&lt;&gt;"OK",SUM($O$8:$O$657)=0),"",O304*'Facturas y gastos'!$B$43/SUM($O$8:$O$657))</f>
        <v/>
      </c>
      <c r="Q304" s="8" t="str">
        <f>IF(OR(O304="",'Facturas y gastos'!$B$5="",P304=""),"",O304*'Facturas y gastos'!$B$5+P304)</f>
        <v/>
      </c>
      <c r="R304" s="8" t="str">
        <f t="shared" si="9"/>
        <v/>
      </c>
    </row>
    <row r="305" spans="1:18">
      <c r="A305" s="25" t="s">
        <v>61</v>
      </c>
      <c r="B305" s="25">
        <v>60</v>
      </c>
      <c r="C305" s="25" t="s">
        <v>453</v>
      </c>
      <c r="D305" s="25" t="s">
        <v>394</v>
      </c>
      <c r="E305" s="25" t="s">
        <v>108</v>
      </c>
      <c r="F305" s="27">
        <v>270</v>
      </c>
      <c r="G305" s="27">
        <v>3</v>
      </c>
      <c r="H305" s="29">
        <v>0.28999999999999998</v>
      </c>
      <c r="I305" s="29">
        <v>78.3</v>
      </c>
      <c r="J305" s="8">
        <f>IF(OR(A305="",I305=""),"",IF(SUMIFS($I$8:$I$657,$A$8:$A$657,A305)=0,"",I305*SUMIFS('Facturas y gastos'!$D$10:$D$13,'Facturas y gastos'!$A$10:$A$13,A305)/SUMIFS($I$8:$I$657,$A$8:$A$657,A305)))</f>
        <v>78.299980318894242</v>
      </c>
      <c r="K305" s="8">
        <f>IF(J305="","",IF(SUMIFS('Facturas y gastos'!$D$10:$D$13,'Facturas y gastos'!$A$10:$A$13,A305)=0,"",J305*SUMIFS('Facturas y gastos'!$G$10:$G$13,'Facturas y gastos'!$A$10:$A$13,A305)/SUMIFS('Facturas y gastos'!$D$10:$D$13,'Facturas y gastos'!$A$10:$A$13,A305)))</f>
        <v>0.78299311161298357</v>
      </c>
      <c r="L305" s="8">
        <f>IF(J305="","",IF(SUMIFS('Facturas y gastos'!$D$10:$D$13,'Facturas y gastos'!$A$10:$A$13,A305)=0,"",J305*SUMIFS('Facturas y gastos'!$H$10:$H$13,'Facturas y gastos'!$A$10:$A$13,A305)/SUMIFS('Facturas y gastos'!$D$10:$D$13,'Facturas y gastos'!$A$10:$A$13,A305)))</f>
        <v>2.3489990159447123</v>
      </c>
      <c r="M305" s="8">
        <f>IF(J305="","",IF(SUMIFS('Facturas y gastos'!$D$10:$D$13,'Facturas y gastos'!$A$10:$A$13,A305)=0,"",J305*SUMIFS('Facturas y gastos'!$I$10:$I$13,'Facturas y gastos'!$A$10:$A$13,A305)/SUMIFS('Facturas y gastos'!$D$10:$D$13,'Facturas y gastos'!$A$10:$A$13,A305)))</f>
        <v>15.548073551534713</v>
      </c>
      <c r="N305" s="8">
        <f>IF(J305="","",IF(SUMIFS('Facturas y gastos'!$D$10:$D$13,'Facturas y gastos'!$A$10:$A$13,A305)=0,"",J305*SUMIFS('Facturas y gastos'!$J$10:$J$13,'Facturas y gastos'!$A$10:$A$13,A305)/SUMIFS('Facturas y gastos'!$D$10:$D$13,'Facturas y gastos'!$A$10:$A$13,A305)))</f>
        <v>0</v>
      </c>
      <c r="O305" s="8">
        <f t="shared" si="8"/>
        <v>95.414059774760688</v>
      </c>
      <c r="P305" s="8" t="str">
        <f>IF(OR(O305="",'Facturas y gastos'!$B$24="",'Facturas y gastos'!$B$45&lt;&gt;"OK",SUM($O$8:$O$657)=0),"",O305*'Facturas y gastos'!$B$43/SUM($O$8:$O$657))</f>
        <v/>
      </c>
      <c r="Q305" s="8" t="str">
        <f>IF(OR(O305="",'Facturas y gastos'!$B$5="",P305=""),"",O305*'Facturas y gastos'!$B$5+P305)</f>
        <v/>
      </c>
      <c r="R305" s="8" t="str">
        <f t="shared" si="9"/>
        <v/>
      </c>
    </row>
    <row r="306" spans="1:18">
      <c r="A306" s="25" t="s">
        <v>61</v>
      </c>
      <c r="B306" s="25">
        <v>61</v>
      </c>
      <c r="C306" s="25" t="s">
        <v>454</v>
      </c>
      <c r="D306" s="25" t="s">
        <v>394</v>
      </c>
      <c r="E306" s="25" t="s">
        <v>108</v>
      </c>
      <c r="F306" s="27">
        <v>120</v>
      </c>
      <c r="G306" s="27">
        <v>5</v>
      </c>
      <c r="H306" s="29">
        <v>0.66</v>
      </c>
      <c r="I306" s="29">
        <v>79.2</v>
      </c>
      <c r="J306" s="8">
        <f>IF(OR(A306="",I306=""),"",IF(SUMIFS($I$8:$I$657,$A$8:$A$657,A306)=0,"",I306*SUMIFS('Facturas y gastos'!$D$10:$D$13,'Facturas y gastos'!$A$10:$A$13,A306)/SUMIFS($I$8:$I$657,$A$8:$A$657,A306)))</f>
        <v>79.199980092674636</v>
      </c>
      <c r="K306" s="8">
        <f>IF(J306="","",IF(SUMIFS('Facturas y gastos'!$D$10:$D$13,'Facturas y gastos'!$A$10:$A$13,A306)=0,"",J306*SUMIFS('Facturas y gastos'!$G$10:$G$13,'Facturas y gastos'!$A$10:$A$13,A306)/SUMIFS('Facturas y gastos'!$D$10:$D$13,'Facturas y gastos'!$A$10:$A$13,A306)))</f>
        <v>0.79199303243612129</v>
      </c>
      <c r="L306" s="8">
        <f>IF(J306="","",IF(SUMIFS('Facturas y gastos'!$D$10:$D$13,'Facturas y gastos'!$A$10:$A$13,A306)=0,"",J306*SUMIFS('Facturas y gastos'!$H$10:$H$13,'Facturas y gastos'!$A$10:$A$13,A306)/SUMIFS('Facturas y gastos'!$D$10:$D$13,'Facturas y gastos'!$A$10:$A$13,A306)))</f>
        <v>2.3759990046337318</v>
      </c>
      <c r="M306" s="8">
        <f>IF(J306="","",IF(SUMIFS('Facturas y gastos'!$D$10:$D$13,'Facturas y gastos'!$A$10:$A$13,A306)=0,"",J306*SUMIFS('Facturas y gastos'!$I$10:$I$13,'Facturas y gastos'!$A$10:$A$13,A306)/SUMIFS('Facturas y gastos'!$D$10:$D$13,'Facturas y gastos'!$A$10:$A$13,A306)))</f>
        <v>15.726787040632814</v>
      </c>
      <c r="N306" s="8">
        <f>IF(J306="","",IF(SUMIFS('Facturas y gastos'!$D$10:$D$13,'Facturas y gastos'!$A$10:$A$13,A306)=0,"",J306*SUMIFS('Facturas y gastos'!$J$10:$J$13,'Facturas y gastos'!$A$10:$A$13,A306)/SUMIFS('Facturas y gastos'!$D$10:$D$13,'Facturas y gastos'!$A$10:$A$13,A306)))</f>
        <v>0</v>
      </c>
      <c r="O306" s="8">
        <f t="shared" si="8"/>
        <v>96.510773105505052</v>
      </c>
      <c r="P306" s="8" t="str">
        <f>IF(OR(O306="",'Facturas y gastos'!$B$24="",'Facturas y gastos'!$B$45&lt;&gt;"OK",SUM($O$8:$O$657)=0),"",O306*'Facturas y gastos'!$B$43/SUM($O$8:$O$657))</f>
        <v/>
      </c>
      <c r="Q306" s="8" t="str">
        <f>IF(OR(O306="",'Facturas y gastos'!$B$5="",P306=""),"",O306*'Facturas y gastos'!$B$5+P306)</f>
        <v/>
      </c>
      <c r="R306" s="8" t="str">
        <f t="shared" si="9"/>
        <v/>
      </c>
    </row>
    <row r="307" spans="1:18">
      <c r="A307" s="25" t="s">
        <v>61</v>
      </c>
      <c r="B307" s="25">
        <v>62</v>
      </c>
      <c r="C307" s="25" t="s">
        <v>455</v>
      </c>
      <c r="D307" s="25" t="s">
        <v>137</v>
      </c>
      <c r="E307" s="25" t="s">
        <v>108</v>
      </c>
      <c r="F307" s="27">
        <v>210</v>
      </c>
      <c r="G307" s="27">
        <v>3</v>
      </c>
      <c r="H307" s="29">
        <v>0.28999999999999998</v>
      </c>
      <c r="I307" s="29">
        <v>60.9</v>
      </c>
      <c r="J307" s="8">
        <f>IF(OR(A307="",I307=""),"",IF(SUMIFS($I$8:$I$657,$A$8:$A$657,A307)=0,"",I307*SUMIFS('Facturas y gastos'!$D$10:$D$13,'Facturas y gastos'!$A$10:$A$13,A307)/SUMIFS($I$8:$I$657,$A$8:$A$657,A307)))</f>
        <v>60.899984692473303</v>
      </c>
      <c r="K307" s="8">
        <f>IF(J307="","",IF(SUMIFS('Facturas y gastos'!$D$10:$D$13,'Facturas y gastos'!$A$10:$A$13,A307)=0,"",J307*SUMIFS('Facturas y gastos'!$G$10:$G$13,'Facturas y gastos'!$A$10:$A$13,A307)/SUMIFS('Facturas y gastos'!$D$10:$D$13,'Facturas y gastos'!$A$10:$A$13,A307)))</f>
        <v>0.60899464236565393</v>
      </c>
      <c r="L307" s="8">
        <f>IF(J307="","",IF(SUMIFS('Facturas y gastos'!$D$10:$D$13,'Facturas y gastos'!$A$10:$A$13,A307)=0,"",J307*SUMIFS('Facturas y gastos'!$H$10:$H$13,'Facturas y gastos'!$A$10:$A$13,A307)/SUMIFS('Facturas y gastos'!$D$10:$D$13,'Facturas y gastos'!$A$10:$A$13,A307)))</f>
        <v>1.8269992346236654</v>
      </c>
      <c r="M307" s="8">
        <f>IF(J307="","",IF(SUMIFS('Facturas y gastos'!$D$10:$D$13,'Facturas y gastos'!$A$10:$A$13,A307)=0,"",J307*SUMIFS('Facturas y gastos'!$I$10:$I$13,'Facturas y gastos'!$A$10:$A$13,A307)/SUMIFS('Facturas y gastos'!$D$10:$D$13,'Facturas y gastos'!$A$10:$A$13,A307)))</f>
        <v>12.09294609563811</v>
      </c>
      <c r="N307" s="8">
        <f>IF(J307="","",IF(SUMIFS('Facturas y gastos'!$D$10:$D$13,'Facturas y gastos'!$A$10:$A$13,A307)=0,"",J307*SUMIFS('Facturas y gastos'!$J$10:$J$13,'Facturas y gastos'!$A$10:$A$13,A307)/SUMIFS('Facturas y gastos'!$D$10:$D$13,'Facturas y gastos'!$A$10:$A$13,A307)))</f>
        <v>0</v>
      </c>
      <c r="O307" s="8">
        <f t="shared" si="8"/>
        <v>74.21093538036942</v>
      </c>
      <c r="P307" s="8" t="str">
        <f>IF(OR(O307="",'Facturas y gastos'!$B$24="",'Facturas y gastos'!$B$45&lt;&gt;"OK",SUM($O$8:$O$657)=0),"",O307*'Facturas y gastos'!$B$43/SUM($O$8:$O$657))</f>
        <v/>
      </c>
      <c r="Q307" s="8" t="str">
        <f>IF(OR(O307="",'Facturas y gastos'!$B$5="",P307=""),"",O307*'Facturas y gastos'!$B$5+P307)</f>
        <v/>
      </c>
      <c r="R307" s="8" t="str">
        <f t="shared" si="9"/>
        <v/>
      </c>
    </row>
    <row r="308" spans="1:18">
      <c r="A308" s="25" t="s">
        <v>61</v>
      </c>
      <c r="B308" s="25">
        <v>63</v>
      </c>
      <c r="C308" s="25" t="s">
        <v>456</v>
      </c>
      <c r="D308" s="25" t="s">
        <v>137</v>
      </c>
      <c r="E308" s="25" t="s">
        <v>108</v>
      </c>
      <c r="F308" s="27">
        <v>180</v>
      </c>
      <c r="G308" s="27">
        <v>3</v>
      </c>
      <c r="H308" s="29">
        <v>0.35</v>
      </c>
      <c r="I308" s="29">
        <v>63</v>
      </c>
      <c r="J308" s="8">
        <f>IF(OR(A308="",I308=""),"",IF(SUMIFS($I$8:$I$657,$A$8:$A$657,A308)=0,"",I308*SUMIFS('Facturas y gastos'!$D$10:$D$13,'Facturas y gastos'!$A$10:$A$13,A308)/SUMIFS($I$8:$I$657,$A$8:$A$657,A308)))</f>
        <v>62.999984164627563</v>
      </c>
      <c r="K308" s="8">
        <f>IF(J308="","",IF(SUMIFS('Facturas y gastos'!$D$10:$D$13,'Facturas y gastos'!$A$10:$A$13,A308)=0,"",J308*SUMIFS('Facturas y gastos'!$G$10:$G$13,'Facturas y gastos'!$A$10:$A$13,A308)/SUMIFS('Facturas y gastos'!$D$10:$D$13,'Facturas y gastos'!$A$10:$A$13,A308)))</f>
        <v>0.62999445761964212</v>
      </c>
      <c r="L308" s="8">
        <f>IF(J308="","",IF(SUMIFS('Facturas y gastos'!$D$10:$D$13,'Facturas y gastos'!$A$10:$A$13,A308)=0,"",J308*SUMIFS('Facturas y gastos'!$H$10:$H$13,'Facturas y gastos'!$A$10:$A$13,A308)/SUMIFS('Facturas y gastos'!$D$10:$D$13,'Facturas y gastos'!$A$10:$A$13,A308)))</f>
        <v>1.8899992082313779</v>
      </c>
      <c r="M308" s="8">
        <f>IF(J308="","",IF(SUMIFS('Facturas y gastos'!$D$10:$D$13,'Facturas y gastos'!$A$10:$A$13,A308)=0,"",J308*SUMIFS('Facturas y gastos'!$I$10:$I$13,'Facturas y gastos'!$A$10:$A$13,A308)/SUMIFS('Facturas y gastos'!$D$10:$D$13,'Facturas y gastos'!$A$10:$A$13,A308)))</f>
        <v>12.509944236867014</v>
      </c>
      <c r="N308" s="8">
        <f>IF(J308="","",IF(SUMIFS('Facturas y gastos'!$D$10:$D$13,'Facturas y gastos'!$A$10:$A$13,A308)=0,"",J308*SUMIFS('Facturas y gastos'!$J$10:$J$13,'Facturas y gastos'!$A$10:$A$13,A308)/SUMIFS('Facturas y gastos'!$D$10:$D$13,'Facturas y gastos'!$A$10:$A$13,A308)))</f>
        <v>0</v>
      </c>
      <c r="O308" s="8">
        <f t="shared" si="8"/>
        <v>76.769933152106304</v>
      </c>
      <c r="P308" s="8" t="str">
        <f>IF(OR(O308="",'Facturas y gastos'!$B$24="",'Facturas y gastos'!$B$45&lt;&gt;"OK",SUM($O$8:$O$657)=0),"",O308*'Facturas y gastos'!$B$43/SUM($O$8:$O$657))</f>
        <v/>
      </c>
      <c r="Q308" s="8" t="str">
        <f>IF(OR(O308="",'Facturas y gastos'!$B$5="",P308=""),"",O308*'Facturas y gastos'!$B$5+P308)</f>
        <v/>
      </c>
      <c r="R308" s="8" t="str">
        <f t="shared" si="9"/>
        <v/>
      </c>
    </row>
    <row r="309" spans="1:18">
      <c r="A309" s="25" t="s">
        <v>61</v>
      </c>
      <c r="B309" s="25">
        <v>64</v>
      </c>
      <c r="C309" s="25" t="s">
        <v>457</v>
      </c>
      <c r="D309" s="25" t="s">
        <v>137</v>
      </c>
      <c r="E309" s="25" t="s">
        <v>108</v>
      </c>
      <c r="F309" s="27">
        <v>90</v>
      </c>
      <c r="G309" s="27">
        <v>3</v>
      </c>
      <c r="H309" s="29">
        <v>0.72</v>
      </c>
      <c r="I309" s="29">
        <v>64.8</v>
      </c>
      <c r="J309" s="8">
        <f>IF(OR(A309="",I309=""),"",IF(SUMIFS($I$8:$I$657,$A$8:$A$657,A309)=0,"",I309*SUMIFS('Facturas y gastos'!$D$10:$D$13,'Facturas y gastos'!$A$10:$A$13,A309)/SUMIFS($I$8:$I$657,$A$8:$A$657,A309)))</f>
        <v>64.79998371218835</v>
      </c>
      <c r="K309" s="8">
        <f>IF(J309="","",IF(SUMIFS('Facturas y gastos'!$D$10:$D$13,'Facturas y gastos'!$A$10:$A$13,A309)=0,"",J309*SUMIFS('Facturas y gastos'!$G$10:$G$13,'Facturas y gastos'!$A$10:$A$13,A309)/SUMIFS('Facturas y gastos'!$D$10:$D$13,'Facturas y gastos'!$A$10:$A$13,A309)))</f>
        <v>0.64799429926591745</v>
      </c>
      <c r="L309" s="8">
        <f>IF(J309="","",IF(SUMIFS('Facturas y gastos'!$D$10:$D$13,'Facturas y gastos'!$A$10:$A$13,A309)=0,"",J309*SUMIFS('Facturas y gastos'!$H$10:$H$13,'Facturas y gastos'!$A$10:$A$13,A309)/SUMIFS('Facturas y gastos'!$D$10:$D$13,'Facturas y gastos'!$A$10:$A$13,A309)))</f>
        <v>1.9439991856094174</v>
      </c>
      <c r="M309" s="8">
        <f>IF(J309="","",IF(SUMIFS('Facturas y gastos'!$D$10:$D$13,'Facturas y gastos'!$A$10:$A$13,A309)=0,"",J309*SUMIFS('Facturas y gastos'!$I$10:$I$13,'Facturas y gastos'!$A$10:$A$13,A309)/SUMIFS('Facturas y gastos'!$D$10:$D$13,'Facturas y gastos'!$A$10:$A$13,A309)))</f>
        <v>12.867371215063214</v>
      </c>
      <c r="N309" s="8">
        <f>IF(J309="","",IF(SUMIFS('Facturas y gastos'!$D$10:$D$13,'Facturas y gastos'!$A$10:$A$13,A309)=0,"",J309*SUMIFS('Facturas y gastos'!$J$10:$J$13,'Facturas y gastos'!$A$10:$A$13,A309)/SUMIFS('Facturas y gastos'!$D$10:$D$13,'Facturas y gastos'!$A$10:$A$13,A309)))</f>
        <v>0</v>
      </c>
      <c r="O309" s="8">
        <f t="shared" si="8"/>
        <v>78.963359813595062</v>
      </c>
      <c r="P309" s="8" t="str">
        <f>IF(OR(O309="",'Facturas y gastos'!$B$24="",'Facturas y gastos'!$B$45&lt;&gt;"OK",SUM($O$8:$O$657)=0),"",O309*'Facturas y gastos'!$B$43/SUM($O$8:$O$657))</f>
        <v/>
      </c>
      <c r="Q309" s="8" t="str">
        <f>IF(OR(O309="",'Facturas y gastos'!$B$5="",P309=""),"",O309*'Facturas y gastos'!$B$5+P309)</f>
        <v/>
      </c>
      <c r="R309" s="8" t="str">
        <f t="shared" si="9"/>
        <v/>
      </c>
    </row>
    <row r="310" spans="1:18">
      <c r="A310" s="25" t="s">
        <v>61</v>
      </c>
      <c r="B310" s="25">
        <v>65</v>
      </c>
      <c r="C310" s="25" t="s">
        <v>458</v>
      </c>
      <c r="D310" s="25" t="s">
        <v>394</v>
      </c>
      <c r="E310" s="25" t="s">
        <v>108</v>
      </c>
      <c r="F310" s="27">
        <v>240</v>
      </c>
      <c r="G310" s="27">
        <v>5</v>
      </c>
      <c r="H310" s="29">
        <v>0.72</v>
      </c>
      <c r="I310" s="29">
        <v>172.8</v>
      </c>
      <c r="J310" s="8">
        <f>IF(OR(A310="",I310=""),"",IF(SUMIFS($I$8:$I$657,$A$8:$A$657,A310)=0,"",I310*SUMIFS('Facturas y gastos'!$D$10:$D$13,'Facturas y gastos'!$A$10:$A$13,A310)/SUMIFS($I$8:$I$657,$A$8:$A$657,A310)))</f>
        <v>172.7999565658356</v>
      </c>
      <c r="K310" s="8">
        <f>IF(J310="","",IF(SUMIFS('Facturas y gastos'!$D$10:$D$13,'Facturas y gastos'!$A$10:$A$13,A310)=0,"",J310*SUMIFS('Facturas y gastos'!$G$10:$G$13,'Facturas y gastos'!$A$10:$A$13,A310)/SUMIFS('Facturas y gastos'!$D$10:$D$13,'Facturas y gastos'!$A$10:$A$13,A310)))</f>
        <v>1.7279847980424468</v>
      </c>
      <c r="L310" s="8">
        <f>IF(J310="","",IF(SUMIFS('Facturas y gastos'!$D$10:$D$13,'Facturas y gastos'!$A$10:$A$13,A310)=0,"",J310*SUMIFS('Facturas y gastos'!$H$10:$H$13,'Facturas y gastos'!$A$10:$A$13,A310)/SUMIFS('Facturas y gastos'!$D$10:$D$13,'Facturas y gastos'!$A$10:$A$13,A310)))</f>
        <v>5.1839978282917798</v>
      </c>
      <c r="M310" s="8">
        <f>IF(J310="","",IF(SUMIFS('Facturas y gastos'!$D$10:$D$13,'Facturas y gastos'!$A$10:$A$13,A310)=0,"",J310*SUMIFS('Facturas y gastos'!$I$10:$I$13,'Facturas y gastos'!$A$10:$A$13,A310)/SUMIFS('Facturas y gastos'!$D$10:$D$13,'Facturas y gastos'!$A$10:$A$13,A310)))</f>
        <v>34.312989906835242</v>
      </c>
      <c r="N310" s="8">
        <f>IF(J310="","",IF(SUMIFS('Facturas y gastos'!$D$10:$D$13,'Facturas y gastos'!$A$10:$A$13,A310)=0,"",J310*SUMIFS('Facturas y gastos'!$J$10:$J$13,'Facturas y gastos'!$A$10:$A$13,A310)/SUMIFS('Facturas y gastos'!$D$10:$D$13,'Facturas y gastos'!$A$10:$A$13,A310)))</f>
        <v>0</v>
      </c>
      <c r="O310" s="8">
        <f t="shared" si="8"/>
        <v>210.56895950292017</v>
      </c>
      <c r="P310" s="8" t="str">
        <f>IF(OR(O310="",'Facturas y gastos'!$B$24="",'Facturas y gastos'!$B$45&lt;&gt;"OK",SUM($O$8:$O$657)=0),"",O310*'Facturas y gastos'!$B$43/SUM($O$8:$O$657))</f>
        <v/>
      </c>
      <c r="Q310" s="8" t="str">
        <f>IF(OR(O310="",'Facturas y gastos'!$B$5="",P310=""),"",O310*'Facturas y gastos'!$B$5+P310)</f>
        <v/>
      </c>
      <c r="R310" s="8" t="str">
        <f t="shared" si="9"/>
        <v/>
      </c>
    </row>
    <row r="311" spans="1:18">
      <c r="A311" s="25" t="s">
        <v>61</v>
      </c>
      <c r="B311" s="25">
        <v>66</v>
      </c>
      <c r="C311" s="25" t="s">
        <v>459</v>
      </c>
      <c r="D311" s="25" t="s">
        <v>137</v>
      </c>
      <c r="E311" s="25" t="s">
        <v>108</v>
      </c>
      <c r="F311" s="27">
        <v>240</v>
      </c>
      <c r="G311" s="27">
        <v>5</v>
      </c>
      <c r="H311" s="29">
        <v>0.72</v>
      </c>
      <c r="I311" s="29">
        <v>172.8</v>
      </c>
      <c r="J311" s="8">
        <f>IF(OR(A311="",I311=""),"",IF(SUMIFS($I$8:$I$657,$A$8:$A$657,A311)=0,"",I311*SUMIFS('Facturas y gastos'!$D$10:$D$13,'Facturas y gastos'!$A$10:$A$13,A311)/SUMIFS($I$8:$I$657,$A$8:$A$657,A311)))</f>
        <v>172.7999565658356</v>
      </c>
      <c r="K311" s="8">
        <f>IF(J311="","",IF(SUMIFS('Facturas y gastos'!$D$10:$D$13,'Facturas y gastos'!$A$10:$A$13,A311)=0,"",J311*SUMIFS('Facturas y gastos'!$G$10:$G$13,'Facturas y gastos'!$A$10:$A$13,A311)/SUMIFS('Facturas y gastos'!$D$10:$D$13,'Facturas y gastos'!$A$10:$A$13,A311)))</f>
        <v>1.7279847980424468</v>
      </c>
      <c r="L311" s="8">
        <f>IF(J311="","",IF(SUMIFS('Facturas y gastos'!$D$10:$D$13,'Facturas y gastos'!$A$10:$A$13,A311)=0,"",J311*SUMIFS('Facturas y gastos'!$H$10:$H$13,'Facturas y gastos'!$A$10:$A$13,A311)/SUMIFS('Facturas y gastos'!$D$10:$D$13,'Facturas y gastos'!$A$10:$A$13,A311)))</f>
        <v>5.1839978282917798</v>
      </c>
      <c r="M311" s="8">
        <f>IF(J311="","",IF(SUMIFS('Facturas y gastos'!$D$10:$D$13,'Facturas y gastos'!$A$10:$A$13,A311)=0,"",J311*SUMIFS('Facturas y gastos'!$I$10:$I$13,'Facturas y gastos'!$A$10:$A$13,A311)/SUMIFS('Facturas y gastos'!$D$10:$D$13,'Facturas y gastos'!$A$10:$A$13,A311)))</f>
        <v>34.312989906835242</v>
      </c>
      <c r="N311" s="8">
        <f>IF(J311="","",IF(SUMIFS('Facturas y gastos'!$D$10:$D$13,'Facturas y gastos'!$A$10:$A$13,A311)=0,"",J311*SUMIFS('Facturas y gastos'!$J$10:$J$13,'Facturas y gastos'!$A$10:$A$13,A311)/SUMIFS('Facturas y gastos'!$D$10:$D$13,'Facturas y gastos'!$A$10:$A$13,A311)))</f>
        <v>0</v>
      </c>
      <c r="O311" s="8">
        <f t="shared" si="8"/>
        <v>210.56895950292017</v>
      </c>
      <c r="P311" s="8" t="str">
        <f>IF(OR(O311="",'Facturas y gastos'!$B$24="",'Facturas y gastos'!$B$45&lt;&gt;"OK",SUM($O$8:$O$657)=0),"",O311*'Facturas y gastos'!$B$43/SUM($O$8:$O$657))</f>
        <v/>
      </c>
      <c r="Q311" s="8" t="str">
        <f>IF(OR(O311="",'Facturas y gastos'!$B$5="",P311=""),"",O311*'Facturas y gastos'!$B$5+P311)</f>
        <v/>
      </c>
      <c r="R311" s="8" t="str">
        <f t="shared" si="9"/>
        <v/>
      </c>
    </row>
    <row r="312" spans="1:18">
      <c r="A312" s="25" t="s">
        <v>61</v>
      </c>
      <c r="B312" s="25">
        <v>67</v>
      </c>
      <c r="C312" s="25" t="s">
        <v>460</v>
      </c>
      <c r="D312" s="25" t="s">
        <v>137</v>
      </c>
      <c r="E312" s="25" t="s">
        <v>108</v>
      </c>
      <c r="F312" s="27">
        <v>150</v>
      </c>
      <c r="G312" s="27">
        <v>5</v>
      </c>
      <c r="H312" s="29">
        <v>1.1200000000000001</v>
      </c>
      <c r="I312" s="29">
        <v>168</v>
      </c>
      <c r="J312" s="8">
        <f>IF(OR(A312="",I312=""),"",IF(SUMIFS($I$8:$I$657,$A$8:$A$657,A312)=0,"",I312*SUMIFS('Facturas y gastos'!$D$10:$D$13,'Facturas y gastos'!$A$10:$A$13,A312)/SUMIFS($I$8:$I$657,$A$8:$A$657,A312)))</f>
        <v>167.99995777234014</v>
      </c>
      <c r="K312" s="8">
        <f>IF(J312="","",IF(SUMIFS('Facturas y gastos'!$D$10:$D$13,'Facturas y gastos'!$A$10:$A$13,A312)=0,"",J312*SUMIFS('Facturas y gastos'!$G$10:$G$13,'Facturas y gastos'!$A$10:$A$13,A312)/SUMIFS('Facturas y gastos'!$D$10:$D$13,'Facturas y gastos'!$A$10:$A$13,A312)))</f>
        <v>1.6799852203190453</v>
      </c>
      <c r="L312" s="8">
        <f>IF(J312="","",IF(SUMIFS('Facturas y gastos'!$D$10:$D$13,'Facturas y gastos'!$A$10:$A$13,A312)=0,"",J312*SUMIFS('Facturas y gastos'!$H$10:$H$13,'Facturas y gastos'!$A$10:$A$13,A312)/SUMIFS('Facturas y gastos'!$D$10:$D$13,'Facturas y gastos'!$A$10:$A$13,A312)))</f>
        <v>5.0399978886170071</v>
      </c>
      <c r="M312" s="8">
        <f>IF(J312="","",IF(SUMIFS('Facturas y gastos'!$D$10:$D$13,'Facturas y gastos'!$A$10:$A$13,A312)=0,"",J312*SUMIFS('Facturas y gastos'!$I$10:$I$13,'Facturas y gastos'!$A$10:$A$13,A312)/SUMIFS('Facturas y gastos'!$D$10:$D$13,'Facturas y gastos'!$A$10:$A$13,A312)))</f>
        <v>33.35985129831203</v>
      </c>
      <c r="N312" s="8">
        <f>IF(J312="","",IF(SUMIFS('Facturas y gastos'!$D$10:$D$13,'Facturas y gastos'!$A$10:$A$13,A312)=0,"",J312*SUMIFS('Facturas y gastos'!$J$10:$J$13,'Facturas y gastos'!$A$10:$A$13,A312)/SUMIFS('Facturas y gastos'!$D$10:$D$13,'Facturas y gastos'!$A$10:$A$13,A312)))</f>
        <v>0</v>
      </c>
      <c r="O312" s="8">
        <f t="shared" si="8"/>
        <v>204.71982173895012</v>
      </c>
      <c r="P312" s="8" t="str">
        <f>IF(OR(O312="",'Facturas y gastos'!$B$24="",'Facturas y gastos'!$B$45&lt;&gt;"OK",SUM($O$8:$O$657)=0),"",O312*'Facturas y gastos'!$B$43/SUM($O$8:$O$657))</f>
        <v/>
      </c>
      <c r="Q312" s="8" t="str">
        <f>IF(OR(O312="",'Facturas y gastos'!$B$5="",P312=""),"",O312*'Facturas y gastos'!$B$5+P312)</f>
        <v/>
      </c>
      <c r="R312" s="8" t="str">
        <f t="shared" si="9"/>
        <v/>
      </c>
    </row>
    <row r="313" spans="1:18">
      <c r="A313" s="25" t="s">
        <v>61</v>
      </c>
      <c r="B313" s="25">
        <v>68</v>
      </c>
      <c r="C313" s="25" t="s">
        <v>461</v>
      </c>
      <c r="D313" s="25" t="s">
        <v>394</v>
      </c>
      <c r="E313" s="25" t="s">
        <v>108</v>
      </c>
      <c r="F313" s="27">
        <v>216</v>
      </c>
      <c r="G313" s="27">
        <v>3</v>
      </c>
      <c r="H313" s="29">
        <v>0.43</v>
      </c>
      <c r="I313" s="29">
        <v>92.88</v>
      </c>
      <c r="J313" s="8">
        <f>IF(OR(A313="",I313=""),"",IF(SUMIFS($I$8:$I$657,$A$8:$A$657,A313)=0,"",I313*SUMIFS('Facturas y gastos'!$D$10:$D$13,'Facturas y gastos'!$A$10:$A$13,A313)/SUMIFS($I$8:$I$657,$A$8:$A$657,A313)))</f>
        <v>92.879976654136627</v>
      </c>
      <c r="K313" s="8">
        <f>IF(J313="","",IF(SUMIFS('Facturas y gastos'!$D$10:$D$13,'Facturas y gastos'!$A$10:$A$13,A313)=0,"",J313*SUMIFS('Facturas y gastos'!$G$10:$G$13,'Facturas y gastos'!$A$10:$A$13,A313)/SUMIFS('Facturas y gastos'!$D$10:$D$13,'Facturas y gastos'!$A$10:$A$13,A313)))</f>
        <v>0.92879182894781498</v>
      </c>
      <c r="L313" s="8">
        <f>IF(J313="","",IF(SUMIFS('Facturas y gastos'!$D$10:$D$13,'Facturas y gastos'!$A$10:$A$13,A313)=0,"",J313*SUMIFS('Facturas y gastos'!$H$10:$H$13,'Facturas y gastos'!$A$10:$A$13,A313)/SUMIFS('Facturas y gastos'!$D$10:$D$13,'Facturas y gastos'!$A$10:$A$13,A313)))</f>
        <v>2.7863988327068316</v>
      </c>
      <c r="M313" s="8">
        <f>IF(J313="","",IF(SUMIFS('Facturas y gastos'!$D$10:$D$13,'Facturas y gastos'!$A$10:$A$13,A313)=0,"",J313*SUMIFS('Facturas y gastos'!$I$10:$I$13,'Facturas y gastos'!$A$10:$A$13,A313)/SUMIFS('Facturas y gastos'!$D$10:$D$13,'Facturas y gastos'!$A$10:$A$13,A313)))</f>
        <v>18.443232074923937</v>
      </c>
      <c r="N313" s="8">
        <f>IF(J313="","",IF(SUMIFS('Facturas y gastos'!$D$10:$D$13,'Facturas y gastos'!$A$10:$A$13,A313)=0,"",J313*SUMIFS('Facturas y gastos'!$J$10:$J$13,'Facturas y gastos'!$A$10:$A$13,A313)/SUMIFS('Facturas y gastos'!$D$10:$D$13,'Facturas y gastos'!$A$10:$A$13,A313)))</f>
        <v>0</v>
      </c>
      <c r="O313" s="8">
        <f t="shared" si="8"/>
        <v>113.1808157328196</v>
      </c>
      <c r="P313" s="8" t="str">
        <f>IF(OR(O313="",'Facturas y gastos'!$B$24="",'Facturas y gastos'!$B$45&lt;&gt;"OK",SUM($O$8:$O$657)=0),"",O313*'Facturas y gastos'!$B$43/SUM($O$8:$O$657))</f>
        <v/>
      </c>
      <c r="Q313" s="8" t="str">
        <f>IF(OR(O313="",'Facturas y gastos'!$B$5="",P313=""),"",O313*'Facturas y gastos'!$B$5+P313)</f>
        <v/>
      </c>
      <c r="R313" s="8" t="str">
        <f t="shared" si="9"/>
        <v/>
      </c>
    </row>
    <row r="314" spans="1:18">
      <c r="A314" s="25" t="s">
        <v>61</v>
      </c>
      <c r="B314" s="25">
        <v>69</v>
      </c>
      <c r="C314" s="25" t="s">
        <v>462</v>
      </c>
      <c r="D314" s="25" t="s">
        <v>394</v>
      </c>
      <c r="E314" s="25" t="s">
        <v>108</v>
      </c>
      <c r="F314" s="27">
        <v>200</v>
      </c>
      <c r="G314" s="27">
        <v>4</v>
      </c>
      <c r="H314" s="29">
        <v>0.5</v>
      </c>
      <c r="I314" s="29">
        <v>100</v>
      </c>
      <c r="J314" s="8">
        <f>IF(OR(A314="",I314=""),"",IF(SUMIFS($I$8:$I$657,$A$8:$A$657,A314)=0,"",I314*SUMIFS('Facturas y gastos'!$D$10:$D$13,'Facturas y gastos'!$A$10:$A$13,A314)/SUMIFS($I$8:$I$657,$A$8:$A$657,A314)))</f>
        <v>99.999974864488181</v>
      </c>
      <c r="K314" s="8">
        <f>IF(J314="","",IF(SUMIFS('Facturas y gastos'!$D$10:$D$13,'Facturas y gastos'!$A$10:$A$13,A314)=0,"",J314*SUMIFS('Facturas y gastos'!$G$10:$G$13,'Facturas y gastos'!$A$10:$A$13,A314)/SUMIFS('Facturas y gastos'!$D$10:$D$13,'Facturas y gastos'!$A$10:$A$13,A314)))</f>
        <v>0.99999120257086038</v>
      </c>
      <c r="L314" s="8">
        <f>IF(J314="","",IF(SUMIFS('Facturas y gastos'!$D$10:$D$13,'Facturas y gastos'!$A$10:$A$13,A314)=0,"",J314*SUMIFS('Facturas y gastos'!$H$10:$H$13,'Facturas y gastos'!$A$10:$A$13,A314)/SUMIFS('Facturas y gastos'!$D$10:$D$13,'Facturas y gastos'!$A$10:$A$13,A314)))</f>
        <v>2.9999987432244088</v>
      </c>
      <c r="M314" s="8">
        <f>IF(J314="","",IF(SUMIFS('Facturas y gastos'!$D$10:$D$13,'Facturas y gastos'!$A$10:$A$13,A314)=0,"",J314*SUMIFS('Facturas y gastos'!$I$10:$I$13,'Facturas y gastos'!$A$10:$A$13,A314)/SUMIFS('Facturas y gastos'!$D$10:$D$13,'Facturas y gastos'!$A$10:$A$13,A314)))</f>
        <v>19.857054344233354</v>
      </c>
      <c r="N314" s="8">
        <f>IF(J314="","",IF(SUMIFS('Facturas y gastos'!$D$10:$D$13,'Facturas y gastos'!$A$10:$A$13,A314)=0,"",J314*SUMIFS('Facturas y gastos'!$J$10:$J$13,'Facturas y gastos'!$A$10:$A$13,A314)/SUMIFS('Facturas y gastos'!$D$10:$D$13,'Facturas y gastos'!$A$10:$A$13,A314)))</f>
        <v>0</v>
      </c>
      <c r="O314" s="8">
        <f t="shared" si="8"/>
        <v>121.85703674937508</v>
      </c>
      <c r="P314" s="8" t="str">
        <f>IF(OR(O314="",'Facturas y gastos'!$B$24="",'Facturas y gastos'!$B$45&lt;&gt;"OK",SUM($O$8:$O$657)=0),"",O314*'Facturas y gastos'!$B$43/SUM($O$8:$O$657))</f>
        <v/>
      </c>
      <c r="Q314" s="8" t="str">
        <f>IF(OR(O314="",'Facturas y gastos'!$B$5="",P314=""),"",O314*'Facturas y gastos'!$B$5+P314)</f>
        <v/>
      </c>
      <c r="R314" s="8" t="str">
        <f t="shared" si="9"/>
        <v/>
      </c>
    </row>
    <row r="315" spans="1:18">
      <c r="A315" s="25" t="s">
        <v>61</v>
      </c>
      <c r="B315" s="25">
        <v>70</v>
      </c>
      <c r="C315" s="25" t="s">
        <v>463</v>
      </c>
      <c r="D315" s="25" t="s">
        <v>137</v>
      </c>
      <c r="E315" s="25" t="s">
        <v>108</v>
      </c>
      <c r="F315" s="27">
        <v>216</v>
      </c>
      <c r="G315" s="27">
        <v>3</v>
      </c>
      <c r="H315" s="29">
        <v>0.5</v>
      </c>
      <c r="I315" s="29">
        <v>108</v>
      </c>
      <c r="J315" s="8">
        <f>IF(OR(A315="",I315=""),"",IF(SUMIFS($I$8:$I$657,$A$8:$A$657,A315)=0,"",I315*SUMIFS('Facturas y gastos'!$D$10:$D$13,'Facturas y gastos'!$A$10:$A$13,A315)/SUMIFS($I$8:$I$657,$A$8:$A$657,A315)))</f>
        <v>107.99997285364724</v>
      </c>
      <c r="K315" s="8">
        <f>IF(J315="","",IF(SUMIFS('Facturas y gastos'!$D$10:$D$13,'Facturas y gastos'!$A$10:$A$13,A315)=0,"",J315*SUMIFS('Facturas y gastos'!$G$10:$G$13,'Facturas y gastos'!$A$10:$A$13,A315)/SUMIFS('Facturas y gastos'!$D$10:$D$13,'Facturas y gastos'!$A$10:$A$13,A315)))</f>
        <v>1.0799904987765292</v>
      </c>
      <c r="L315" s="8">
        <f>IF(J315="","",IF(SUMIFS('Facturas y gastos'!$D$10:$D$13,'Facturas y gastos'!$A$10:$A$13,A315)=0,"",J315*SUMIFS('Facturas y gastos'!$H$10:$H$13,'Facturas y gastos'!$A$10:$A$13,A315)/SUMIFS('Facturas y gastos'!$D$10:$D$13,'Facturas y gastos'!$A$10:$A$13,A315)))</f>
        <v>3.2399986426823619</v>
      </c>
      <c r="M315" s="8">
        <f>IF(J315="","",IF(SUMIFS('Facturas y gastos'!$D$10:$D$13,'Facturas y gastos'!$A$10:$A$13,A315)=0,"",J315*SUMIFS('Facturas y gastos'!$I$10:$I$13,'Facturas y gastos'!$A$10:$A$13,A315)/SUMIFS('Facturas y gastos'!$D$10:$D$13,'Facturas y gastos'!$A$10:$A$13,A315)))</f>
        <v>21.445618691772019</v>
      </c>
      <c r="N315" s="8">
        <f>IF(J315="","",IF(SUMIFS('Facturas y gastos'!$D$10:$D$13,'Facturas y gastos'!$A$10:$A$13,A315)=0,"",J315*SUMIFS('Facturas y gastos'!$J$10:$J$13,'Facturas y gastos'!$A$10:$A$13,A315)/SUMIFS('Facturas y gastos'!$D$10:$D$13,'Facturas y gastos'!$A$10:$A$13,A315)))</f>
        <v>0</v>
      </c>
      <c r="O315" s="8">
        <f t="shared" si="8"/>
        <v>131.60559968932509</v>
      </c>
      <c r="P315" s="8" t="str">
        <f>IF(OR(O315="",'Facturas y gastos'!$B$24="",'Facturas y gastos'!$B$45&lt;&gt;"OK",SUM($O$8:$O$657)=0),"",O315*'Facturas y gastos'!$B$43/SUM($O$8:$O$657))</f>
        <v/>
      </c>
      <c r="Q315" s="8" t="str">
        <f>IF(OR(O315="",'Facturas y gastos'!$B$5="",P315=""),"",O315*'Facturas y gastos'!$B$5+P315)</f>
        <v/>
      </c>
      <c r="R315" s="8" t="str">
        <f t="shared" si="9"/>
        <v/>
      </c>
    </row>
    <row r="316" spans="1:18">
      <c r="A316" s="25" t="s">
        <v>61</v>
      </c>
      <c r="B316" s="25">
        <v>71</v>
      </c>
      <c r="C316" s="25" t="s">
        <v>464</v>
      </c>
      <c r="D316" s="25" t="s">
        <v>137</v>
      </c>
      <c r="E316" s="25" t="s">
        <v>108</v>
      </c>
      <c r="F316" s="27">
        <v>192</v>
      </c>
      <c r="G316" s="27">
        <v>4</v>
      </c>
      <c r="H316" s="29">
        <v>0.43</v>
      </c>
      <c r="I316" s="29">
        <v>82.56</v>
      </c>
      <c r="J316" s="8">
        <f>IF(OR(A316="",I316=""),"",IF(SUMIFS($I$8:$I$657,$A$8:$A$657,A316)=0,"",I316*SUMIFS('Facturas y gastos'!$D$10:$D$13,'Facturas y gastos'!$A$10:$A$13,A316)/SUMIFS($I$8:$I$657,$A$8:$A$657,A316)))</f>
        <v>82.559979248121451</v>
      </c>
      <c r="K316" s="8">
        <f>IF(J316="","",IF(SUMIFS('Facturas y gastos'!$D$10:$D$13,'Facturas y gastos'!$A$10:$A$13,A316)=0,"",J316*SUMIFS('Facturas y gastos'!$G$10:$G$13,'Facturas y gastos'!$A$10:$A$13,A316)/SUMIFS('Facturas y gastos'!$D$10:$D$13,'Facturas y gastos'!$A$10:$A$13,A316)))</f>
        <v>0.82559273684250234</v>
      </c>
      <c r="L316" s="8">
        <f>IF(J316="","",IF(SUMIFS('Facturas y gastos'!$D$10:$D$13,'Facturas y gastos'!$A$10:$A$13,A316)=0,"",J316*SUMIFS('Facturas y gastos'!$H$10:$H$13,'Facturas y gastos'!$A$10:$A$13,A316)/SUMIFS('Facturas y gastos'!$D$10:$D$13,'Facturas y gastos'!$A$10:$A$13,A316)))</f>
        <v>2.4767989624060722</v>
      </c>
      <c r="M316" s="8">
        <f>IF(J316="","",IF(SUMIFS('Facturas y gastos'!$D$10:$D$13,'Facturas y gastos'!$A$10:$A$13,A316)=0,"",J316*SUMIFS('Facturas y gastos'!$I$10:$I$13,'Facturas y gastos'!$A$10:$A$13,A316)/SUMIFS('Facturas y gastos'!$D$10:$D$13,'Facturas y gastos'!$A$10:$A$13,A316)))</f>
        <v>16.393984066599057</v>
      </c>
      <c r="N316" s="8">
        <f>IF(J316="","",IF(SUMIFS('Facturas y gastos'!$D$10:$D$13,'Facturas y gastos'!$A$10:$A$13,A316)=0,"",J316*SUMIFS('Facturas y gastos'!$J$10:$J$13,'Facturas y gastos'!$A$10:$A$13,A316)/SUMIFS('Facturas y gastos'!$D$10:$D$13,'Facturas y gastos'!$A$10:$A$13,A316)))</f>
        <v>0</v>
      </c>
      <c r="O316" s="8">
        <f t="shared" si="8"/>
        <v>100.60516954028408</v>
      </c>
      <c r="P316" s="8" t="str">
        <f>IF(OR(O316="",'Facturas y gastos'!$B$24="",'Facturas y gastos'!$B$45&lt;&gt;"OK",SUM($O$8:$O$657)=0),"",O316*'Facturas y gastos'!$B$43/SUM($O$8:$O$657))</f>
        <v/>
      </c>
      <c r="Q316" s="8" t="str">
        <f>IF(OR(O316="",'Facturas y gastos'!$B$5="",P316=""),"",O316*'Facturas y gastos'!$B$5+P316)</f>
        <v/>
      </c>
      <c r="R316" s="8" t="str">
        <f t="shared" si="9"/>
        <v/>
      </c>
    </row>
    <row r="317" spans="1:18">
      <c r="A317" s="25" t="s">
        <v>61</v>
      </c>
      <c r="B317" s="25">
        <v>72</v>
      </c>
      <c r="C317" s="25" t="s">
        <v>465</v>
      </c>
      <c r="D317" s="25" t="s">
        <v>137</v>
      </c>
      <c r="E317" s="25" t="s">
        <v>108</v>
      </c>
      <c r="F317" s="27">
        <v>180</v>
      </c>
      <c r="G317" s="27">
        <v>3</v>
      </c>
      <c r="H317" s="29">
        <v>0.43</v>
      </c>
      <c r="I317" s="29">
        <v>77.400000000000006</v>
      </c>
      <c r="J317" s="8">
        <f>IF(OR(A317="",I317=""),"",IF(SUMIFS($I$8:$I$657,$A$8:$A$657,A317)=0,"",I317*SUMIFS('Facturas y gastos'!$D$10:$D$13,'Facturas y gastos'!$A$10:$A$13,A317)/SUMIFS($I$8:$I$657,$A$8:$A$657,A317)))</f>
        <v>77.399980545113849</v>
      </c>
      <c r="K317" s="8">
        <f>IF(J317="","",IF(SUMIFS('Facturas y gastos'!$D$10:$D$13,'Facturas y gastos'!$A$10:$A$13,A317)=0,"",J317*SUMIFS('Facturas y gastos'!$G$10:$G$13,'Facturas y gastos'!$A$10:$A$13,A317)/SUMIFS('Facturas y gastos'!$D$10:$D$13,'Facturas y gastos'!$A$10:$A$13,A317)))</f>
        <v>0.77399319078984574</v>
      </c>
      <c r="L317" s="8">
        <f>IF(J317="","",IF(SUMIFS('Facturas y gastos'!$D$10:$D$13,'Facturas y gastos'!$A$10:$A$13,A317)=0,"",J317*SUMIFS('Facturas y gastos'!$H$10:$H$13,'Facturas y gastos'!$A$10:$A$13,A317)/SUMIFS('Facturas y gastos'!$D$10:$D$13,'Facturas y gastos'!$A$10:$A$13,A317)))</f>
        <v>2.3219990272556923</v>
      </c>
      <c r="M317" s="8">
        <f>IF(J317="","",IF(SUMIFS('Facturas y gastos'!$D$10:$D$13,'Facturas y gastos'!$A$10:$A$13,A317)=0,"",J317*SUMIFS('Facturas y gastos'!$I$10:$I$13,'Facturas y gastos'!$A$10:$A$13,A317)/SUMIFS('Facturas y gastos'!$D$10:$D$13,'Facturas y gastos'!$A$10:$A$13,A317)))</f>
        <v>15.369360062436614</v>
      </c>
      <c r="N317" s="8">
        <f>IF(J317="","",IF(SUMIFS('Facturas y gastos'!$D$10:$D$13,'Facturas y gastos'!$A$10:$A$13,A317)=0,"",J317*SUMIFS('Facturas y gastos'!$J$10:$J$13,'Facturas y gastos'!$A$10:$A$13,A317)/SUMIFS('Facturas y gastos'!$D$10:$D$13,'Facturas y gastos'!$A$10:$A$13,A317)))</f>
        <v>0</v>
      </c>
      <c r="O317" s="8">
        <f t="shared" si="8"/>
        <v>94.317346444016295</v>
      </c>
      <c r="P317" s="8" t="str">
        <f>IF(OR(O317="",'Facturas y gastos'!$B$24="",'Facturas y gastos'!$B$45&lt;&gt;"OK",SUM($O$8:$O$657)=0),"",O317*'Facturas y gastos'!$B$43/SUM($O$8:$O$657))</f>
        <v/>
      </c>
      <c r="Q317" s="8" t="str">
        <f>IF(OR(O317="",'Facturas y gastos'!$B$5="",P317=""),"",O317*'Facturas y gastos'!$B$5+P317)</f>
        <v/>
      </c>
      <c r="R317" s="8" t="str">
        <f t="shared" si="9"/>
        <v/>
      </c>
    </row>
    <row r="318" spans="1:18">
      <c r="A318" s="25" t="s">
        <v>61</v>
      </c>
      <c r="B318" s="25">
        <v>73</v>
      </c>
      <c r="C318" s="25" t="s">
        <v>466</v>
      </c>
      <c r="D318" s="25" t="s">
        <v>137</v>
      </c>
      <c r="E318" s="25" t="s">
        <v>108</v>
      </c>
      <c r="F318" s="27">
        <v>180</v>
      </c>
      <c r="G318" s="27">
        <v>6</v>
      </c>
      <c r="H318" s="29">
        <v>0.93</v>
      </c>
      <c r="I318" s="29">
        <v>167.4</v>
      </c>
      <c r="J318" s="8">
        <f>IF(OR(A318="",I318=""),"",IF(SUMIFS($I$8:$I$657,$A$8:$A$657,A318)=0,"",I318*SUMIFS('Facturas y gastos'!$D$10:$D$13,'Facturas y gastos'!$A$10:$A$13,A318)/SUMIFS($I$8:$I$657,$A$8:$A$657,A318)))</f>
        <v>167.39995792315324</v>
      </c>
      <c r="K318" s="8">
        <f>IF(J318="","",IF(SUMIFS('Facturas y gastos'!$D$10:$D$13,'Facturas y gastos'!$A$10:$A$13,A318)=0,"",J318*SUMIFS('Facturas y gastos'!$G$10:$G$13,'Facturas y gastos'!$A$10:$A$13,A318)/SUMIFS('Facturas y gastos'!$D$10:$D$13,'Facturas y gastos'!$A$10:$A$13,A318)))</f>
        <v>1.6739852731036204</v>
      </c>
      <c r="L318" s="8">
        <f>IF(J318="","",IF(SUMIFS('Facturas y gastos'!$D$10:$D$13,'Facturas y gastos'!$A$10:$A$13,A318)=0,"",J318*SUMIFS('Facturas y gastos'!$H$10:$H$13,'Facturas y gastos'!$A$10:$A$13,A318)/SUMIFS('Facturas y gastos'!$D$10:$D$13,'Facturas y gastos'!$A$10:$A$13,A318)))</f>
        <v>5.0219978961576617</v>
      </c>
      <c r="M318" s="8">
        <f>IF(J318="","",IF(SUMIFS('Facturas y gastos'!$D$10:$D$13,'Facturas y gastos'!$A$10:$A$13,A318)=0,"",J318*SUMIFS('Facturas y gastos'!$I$10:$I$13,'Facturas y gastos'!$A$10:$A$13,A318)/SUMIFS('Facturas y gastos'!$D$10:$D$13,'Facturas y gastos'!$A$10:$A$13,A318)))</f>
        <v>33.240708972246637</v>
      </c>
      <c r="N318" s="8">
        <f>IF(J318="","",IF(SUMIFS('Facturas y gastos'!$D$10:$D$13,'Facturas y gastos'!$A$10:$A$13,A318)=0,"",J318*SUMIFS('Facturas y gastos'!$J$10:$J$13,'Facturas y gastos'!$A$10:$A$13,A318)/SUMIFS('Facturas y gastos'!$D$10:$D$13,'Facturas y gastos'!$A$10:$A$13,A318)))</f>
        <v>0</v>
      </c>
      <c r="O318" s="8">
        <f t="shared" si="8"/>
        <v>203.98867951845392</v>
      </c>
      <c r="P318" s="8" t="str">
        <f>IF(OR(O318="",'Facturas y gastos'!$B$24="",'Facturas y gastos'!$B$45&lt;&gt;"OK",SUM($O$8:$O$657)=0),"",O318*'Facturas y gastos'!$B$43/SUM($O$8:$O$657))</f>
        <v/>
      </c>
      <c r="Q318" s="8" t="str">
        <f>IF(OR(O318="",'Facturas y gastos'!$B$5="",P318=""),"",O318*'Facturas y gastos'!$B$5+P318)</f>
        <v/>
      </c>
      <c r="R318" s="8" t="str">
        <f t="shared" si="9"/>
        <v/>
      </c>
    </row>
    <row r="319" spans="1:18">
      <c r="A319" s="25" t="s">
        <v>61</v>
      </c>
      <c r="B319" s="25">
        <v>74</v>
      </c>
      <c r="C319" s="25" t="s">
        <v>467</v>
      </c>
      <c r="D319" s="25" t="s">
        <v>137</v>
      </c>
      <c r="E319" s="25" t="s">
        <v>108</v>
      </c>
      <c r="F319" s="27">
        <v>144</v>
      </c>
      <c r="G319" s="27">
        <v>4</v>
      </c>
      <c r="H319" s="29">
        <v>0.84</v>
      </c>
      <c r="I319" s="29">
        <v>120.96</v>
      </c>
      <c r="J319" s="8">
        <f>IF(OR(A319="",I319=""),"",IF(SUMIFS($I$8:$I$657,$A$8:$A$657,A319)=0,"",I319*SUMIFS('Facturas y gastos'!$D$10:$D$13,'Facturas y gastos'!$A$10:$A$13,A319)/SUMIFS($I$8:$I$657,$A$8:$A$657,A319)))</f>
        <v>120.9599695960849</v>
      </c>
      <c r="K319" s="8">
        <f>IF(J319="","",IF(SUMIFS('Facturas y gastos'!$D$10:$D$13,'Facturas y gastos'!$A$10:$A$13,A319)=0,"",J319*SUMIFS('Facturas y gastos'!$G$10:$G$13,'Facturas y gastos'!$A$10:$A$13,A319)/SUMIFS('Facturas y gastos'!$D$10:$D$13,'Facturas y gastos'!$A$10:$A$13,A319)))</f>
        <v>1.2095893586297124</v>
      </c>
      <c r="L319" s="8">
        <f>IF(J319="","",IF(SUMIFS('Facturas y gastos'!$D$10:$D$13,'Facturas y gastos'!$A$10:$A$13,A319)=0,"",J319*SUMIFS('Facturas y gastos'!$H$10:$H$13,'Facturas y gastos'!$A$10:$A$13,A319)/SUMIFS('Facturas y gastos'!$D$10:$D$13,'Facturas y gastos'!$A$10:$A$13,A319)))</f>
        <v>3.628798479804245</v>
      </c>
      <c r="M319" s="8">
        <f>IF(J319="","",IF(SUMIFS('Facturas y gastos'!$D$10:$D$13,'Facturas y gastos'!$A$10:$A$13,A319)=0,"",J319*SUMIFS('Facturas y gastos'!$I$10:$I$13,'Facturas y gastos'!$A$10:$A$13,A319)/SUMIFS('Facturas y gastos'!$D$10:$D$13,'Facturas y gastos'!$A$10:$A$13,A319)))</f>
        <v>24.019092934784663</v>
      </c>
      <c r="N319" s="8">
        <f>IF(J319="","",IF(SUMIFS('Facturas y gastos'!$D$10:$D$13,'Facturas y gastos'!$A$10:$A$13,A319)=0,"",J319*SUMIFS('Facturas y gastos'!$J$10:$J$13,'Facturas y gastos'!$A$10:$A$13,A319)/SUMIFS('Facturas y gastos'!$D$10:$D$13,'Facturas y gastos'!$A$10:$A$13,A319)))</f>
        <v>0</v>
      </c>
      <c r="O319" s="8">
        <f t="shared" si="8"/>
        <v>147.39827165204409</v>
      </c>
      <c r="P319" s="8" t="str">
        <f>IF(OR(O319="",'Facturas y gastos'!$B$24="",'Facturas y gastos'!$B$45&lt;&gt;"OK",SUM($O$8:$O$657)=0),"",O319*'Facturas y gastos'!$B$43/SUM($O$8:$O$657))</f>
        <v/>
      </c>
      <c r="Q319" s="8" t="str">
        <f>IF(OR(O319="",'Facturas y gastos'!$B$5="",P319=""),"",O319*'Facturas y gastos'!$B$5+P319)</f>
        <v/>
      </c>
      <c r="R319" s="8" t="str">
        <f t="shared" si="9"/>
        <v/>
      </c>
    </row>
    <row r="320" spans="1:18">
      <c r="A320" s="25" t="s">
        <v>61</v>
      </c>
      <c r="B320" s="25">
        <v>75</v>
      </c>
      <c r="C320" s="25" t="s">
        <v>468</v>
      </c>
      <c r="D320" s="25" t="s">
        <v>171</v>
      </c>
      <c r="E320" s="25" t="s">
        <v>108</v>
      </c>
      <c r="F320" s="27">
        <v>72</v>
      </c>
      <c r="G320" s="27">
        <v>3</v>
      </c>
      <c r="H320" s="29">
        <v>3.06</v>
      </c>
      <c r="I320" s="29">
        <v>220.3</v>
      </c>
      <c r="J320" s="8">
        <f>IF(OR(A320="",I320=""),"",IF(SUMIFS($I$8:$I$657,$A$8:$A$657,A320)=0,"",I320*SUMIFS('Facturas y gastos'!$D$10:$D$13,'Facturas y gastos'!$A$10:$A$13,A320)/SUMIFS($I$8:$I$657,$A$8:$A$657,A320)))</f>
        <v>220.29994462646749</v>
      </c>
      <c r="K320" s="8">
        <f>IF(J320="","",IF(SUMIFS('Facturas y gastos'!$D$10:$D$13,'Facturas y gastos'!$A$10:$A$13,A320)=0,"",J320*SUMIFS('Facturas y gastos'!$G$10:$G$13,'Facturas y gastos'!$A$10:$A$13,A320)/SUMIFS('Facturas y gastos'!$D$10:$D$13,'Facturas y gastos'!$A$10:$A$13,A320)))</f>
        <v>2.2029806192636054</v>
      </c>
      <c r="L320" s="8">
        <f>IF(J320="","",IF(SUMIFS('Facturas y gastos'!$D$10:$D$13,'Facturas y gastos'!$A$10:$A$13,A320)=0,"",J320*SUMIFS('Facturas y gastos'!$H$10:$H$13,'Facturas y gastos'!$A$10:$A$13,A320)/SUMIFS('Facturas y gastos'!$D$10:$D$13,'Facturas y gastos'!$A$10:$A$13,A320)))</f>
        <v>6.6089972313233734</v>
      </c>
      <c r="M320" s="8">
        <f>IF(J320="","",IF(SUMIFS('Facturas y gastos'!$D$10:$D$13,'Facturas y gastos'!$A$10:$A$13,A320)=0,"",J320*SUMIFS('Facturas y gastos'!$I$10:$I$13,'Facturas y gastos'!$A$10:$A$13,A320)/SUMIFS('Facturas y gastos'!$D$10:$D$13,'Facturas y gastos'!$A$10:$A$13,A320)))</f>
        <v>43.745090720346084</v>
      </c>
      <c r="N320" s="8">
        <f>IF(J320="","",IF(SUMIFS('Facturas y gastos'!$D$10:$D$13,'Facturas y gastos'!$A$10:$A$13,A320)=0,"",J320*SUMIFS('Facturas y gastos'!$J$10:$J$13,'Facturas y gastos'!$A$10:$A$13,A320)/SUMIFS('Facturas y gastos'!$D$10:$D$13,'Facturas y gastos'!$A$10:$A$13,A320)))</f>
        <v>0</v>
      </c>
      <c r="O320" s="8">
        <f t="shared" si="8"/>
        <v>268.45105195887334</v>
      </c>
      <c r="P320" s="8" t="str">
        <f>IF(OR(O320="",'Facturas y gastos'!$B$24="",'Facturas y gastos'!$B$45&lt;&gt;"OK",SUM($O$8:$O$657)=0),"",O320*'Facturas y gastos'!$B$43/SUM($O$8:$O$657))</f>
        <v/>
      </c>
      <c r="Q320" s="8" t="str">
        <f>IF(OR(O320="",'Facturas y gastos'!$B$5="",P320=""),"",O320*'Facturas y gastos'!$B$5+P320)</f>
        <v/>
      </c>
      <c r="R320" s="8" t="str">
        <f t="shared" si="9"/>
        <v/>
      </c>
    </row>
    <row r="321" spans="1:18">
      <c r="A321" s="25" t="s">
        <v>61</v>
      </c>
      <c r="B321" s="25">
        <v>76</v>
      </c>
      <c r="C321" s="25" t="s">
        <v>469</v>
      </c>
      <c r="D321" s="25" t="s">
        <v>171</v>
      </c>
      <c r="E321" s="25" t="s">
        <v>108</v>
      </c>
      <c r="F321" s="27">
        <v>144</v>
      </c>
      <c r="G321" s="27">
        <v>3</v>
      </c>
      <c r="H321" s="29">
        <v>1.42</v>
      </c>
      <c r="I321" s="29">
        <v>204.18</v>
      </c>
      <c r="J321" s="8">
        <f>IF(OR(A321="",I321=""),"",IF(SUMIFS($I$8:$I$657,$A$8:$A$657,A321)=0,"",I321*SUMIFS('Facturas y gastos'!$D$10:$D$13,'Facturas y gastos'!$A$10:$A$13,A321)/SUMIFS($I$8:$I$657,$A$8:$A$657,A321)))</f>
        <v>204.179948678312</v>
      </c>
      <c r="K321" s="8">
        <f>IF(J321="","",IF(SUMIFS('Facturas y gastos'!$D$10:$D$13,'Facturas y gastos'!$A$10:$A$13,A321)=0,"",J321*SUMIFS('Facturas y gastos'!$G$10:$G$13,'Facturas y gastos'!$A$10:$A$13,A321)/SUMIFS('Facturas y gastos'!$D$10:$D$13,'Facturas y gastos'!$A$10:$A$13,A321)))</f>
        <v>2.0417820374091828</v>
      </c>
      <c r="L321" s="8">
        <f>IF(J321="","",IF(SUMIFS('Facturas y gastos'!$D$10:$D$13,'Facturas y gastos'!$A$10:$A$13,A321)=0,"",J321*SUMIFS('Facturas y gastos'!$H$10:$H$13,'Facturas y gastos'!$A$10:$A$13,A321)/SUMIFS('Facturas y gastos'!$D$10:$D$13,'Facturas y gastos'!$A$10:$A$13,A321)))</f>
        <v>6.125397433915599</v>
      </c>
      <c r="M321" s="8">
        <f>IF(J321="","",IF(SUMIFS('Facturas y gastos'!$D$10:$D$13,'Facturas y gastos'!$A$10:$A$13,A321)=0,"",J321*SUMIFS('Facturas y gastos'!$I$10:$I$13,'Facturas y gastos'!$A$10:$A$13,A321)/SUMIFS('Facturas y gastos'!$D$10:$D$13,'Facturas y gastos'!$A$10:$A$13,A321)))</f>
        <v>40.544133560055663</v>
      </c>
      <c r="N321" s="8">
        <f>IF(J321="","",IF(SUMIFS('Facturas y gastos'!$D$10:$D$13,'Facturas y gastos'!$A$10:$A$13,A321)=0,"",J321*SUMIFS('Facturas y gastos'!$J$10:$J$13,'Facturas y gastos'!$A$10:$A$13,A321)/SUMIFS('Facturas y gastos'!$D$10:$D$13,'Facturas y gastos'!$A$10:$A$13,A321)))</f>
        <v>0</v>
      </c>
      <c r="O321" s="8">
        <f t="shared" si="8"/>
        <v>248.80769763487407</v>
      </c>
      <c r="P321" s="8" t="str">
        <f>IF(OR(O321="",'Facturas y gastos'!$B$24="",'Facturas y gastos'!$B$45&lt;&gt;"OK",SUM($O$8:$O$657)=0),"",O321*'Facturas y gastos'!$B$43/SUM($O$8:$O$657))</f>
        <v/>
      </c>
      <c r="Q321" s="8" t="str">
        <f>IF(OR(O321="",'Facturas y gastos'!$B$5="",P321=""),"",O321*'Facturas y gastos'!$B$5+P321)</f>
        <v/>
      </c>
      <c r="R321" s="8" t="str">
        <f t="shared" si="9"/>
        <v/>
      </c>
    </row>
    <row r="322" spans="1:18">
      <c r="A322" s="25" t="s">
        <v>61</v>
      </c>
      <c r="B322" s="25">
        <v>77</v>
      </c>
      <c r="C322" s="25" t="s">
        <v>470</v>
      </c>
      <c r="D322" s="25" t="s">
        <v>171</v>
      </c>
      <c r="E322" s="25" t="s">
        <v>108</v>
      </c>
      <c r="F322" s="27">
        <v>72</v>
      </c>
      <c r="G322" s="27">
        <v>3</v>
      </c>
      <c r="H322" s="29">
        <v>3.43</v>
      </c>
      <c r="I322" s="29">
        <v>247.16</v>
      </c>
      <c r="J322" s="8">
        <f>IF(OR(A322="",I322=""),"",IF(SUMIFS($I$8:$I$657,$A$8:$A$657,A322)=0,"",I322*SUMIFS('Facturas y gastos'!$D$10:$D$13,'Facturas y gastos'!$A$10:$A$13,A322)/SUMIFS($I$8:$I$657,$A$8:$A$657,A322)))</f>
        <v>247.15993787506898</v>
      </c>
      <c r="K322" s="8">
        <f>IF(J322="","",IF(SUMIFS('Facturas y gastos'!$D$10:$D$13,'Facturas y gastos'!$A$10:$A$13,A322)=0,"",J322*SUMIFS('Facturas y gastos'!$G$10:$G$13,'Facturas y gastos'!$A$10:$A$13,A322)/SUMIFS('Facturas y gastos'!$D$10:$D$13,'Facturas y gastos'!$A$10:$A$13,A322)))</f>
        <v>2.471578256274138</v>
      </c>
      <c r="L322" s="8">
        <f>IF(J322="","",IF(SUMIFS('Facturas y gastos'!$D$10:$D$13,'Facturas y gastos'!$A$10:$A$13,A322)=0,"",J322*SUMIFS('Facturas y gastos'!$H$10:$H$13,'Facturas y gastos'!$A$10:$A$13,A322)/SUMIFS('Facturas y gastos'!$D$10:$D$13,'Facturas y gastos'!$A$10:$A$13,A322)))</f>
        <v>7.4147968937534499</v>
      </c>
      <c r="M322" s="8">
        <f>IF(J322="","",IF(SUMIFS('Facturas y gastos'!$D$10:$D$13,'Facturas y gastos'!$A$10:$A$13,A322)=0,"",J322*SUMIFS('Facturas y gastos'!$I$10:$I$13,'Facturas y gastos'!$A$10:$A$13,A322)/SUMIFS('Facturas y gastos'!$D$10:$D$13,'Facturas y gastos'!$A$10:$A$13,A322)))</f>
        <v>49.078695517207152</v>
      </c>
      <c r="N322" s="8">
        <f>IF(J322="","",IF(SUMIFS('Facturas y gastos'!$D$10:$D$13,'Facturas y gastos'!$A$10:$A$13,A322)=0,"",J322*SUMIFS('Facturas y gastos'!$J$10:$J$13,'Facturas y gastos'!$A$10:$A$13,A322)/SUMIFS('Facturas y gastos'!$D$10:$D$13,'Facturas y gastos'!$A$10:$A$13,A322)))</f>
        <v>0</v>
      </c>
      <c r="O322" s="8">
        <f t="shared" si="8"/>
        <v>301.18185202975542</v>
      </c>
      <c r="P322" s="8" t="str">
        <f>IF(OR(O322="",'Facturas y gastos'!$B$24="",'Facturas y gastos'!$B$45&lt;&gt;"OK",SUM($O$8:$O$657)=0),"",O322*'Facturas y gastos'!$B$43/SUM($O$8:$O$657))</f>
        <v/>
      </c>
      <c r="Q322" s="8" t="str">
        <f>IF(OR(O322="",'Facturas y gastos'!$B$5="",P322=""),"",O322*'Facturas y gastos'!$B$5+P322)</f>
        <v/>
      </c>
      <c r="R322" s="8" t="str">
        <f t="shared" si="9"/>
        <v/>
      </c>
    </row>
    <row r="323" spans="1:18">
      <c r="A323" s="25" t="s">
        <v>61</v>
      </c>
      <c r="B323" s="25">
        <v>78</v>
      </c>
      <c r="C323" s="25" t="s">
        <v>471</v>
      </c>
      <c r="D323" s="25" t="s">
        <v>171</v>
      </c>
      <c r="E323" s="25" t="s">
        <v>108</v>
      </c>
      <c r="F323" s="27">
        <v>180</v>
      </c>
      <c r="G323" s="27">
        <v>3</v>
      </c>
      <c r="H323" s="29">
        <v>1.57</v>
      </c>
      <c r="I323" s="29">
        <v>282.08999999999997</v>
      </c>
      <c r="J323" s="8">
        <f>IF(OR(A323="",I323=""),"",IF(SUMIFS($I$8:$I$657,$A$8:$A$657,A323)=0,"",I323*SUMIFS('Facturas y gastos'!$D$10:$D$13,'Facturas y gastos'!$A$10:$A$13,A323)/SUMIFS($I$8:$I$657,$A$8:$A$657,A323)))</f>
        <v>282.08992909523471</v>
      </c>
      <c r="K323" s="8">
        <f>IF(J323="","",IF(SUMIFS('Facturas y gastos'!$D$10:$D$13,'Facturas y gastos'!$A$10:$A$13,A323)=0,"",J323*SUMIFS('Facturas y gastos'!$G$10:$G$13,'Facturas y gastos'!$A$10:$A$13,A323)/SUMIFS('Facturas y gastos'!$D$10:$D$13,'Facturas y gastos'!$A$10:$A$13,A323)))</f>
        <v>2.8208751833321397</v>
      </c>
      <c r="L323" s="8">
        <f>IF(J323="","",IF(SUMIFS('Facturas y gastos'!$D$10:$D$13,'Facturas y gastos'!$A$10:$A$13,A323)=0,"",J323*SUMIFS('Facturas y gastos'!$H$10:$H$13,'Facturas y gastos'!$A$10:$A$13,A323)/SUMIFS('Facturas y gastos'!$D$10:$D$13,'Facturas y gastos'!$A$10:$A$13,A323)))</f>
        <v>8.4626964547617352</v>
      </c>
      <c r="M323" s="8">
        <f>IF(J323="","",IF(SUMIFS('Facturas y gastos'!$D$10:$D$13,'Facturas y gastos'!$A$10:$A$13,A323)=0,"",J323*SUMIFS('Facturas y gastos'!$I$10:$I$13,'Facturas y gastos'!$A$10:$A$13,A323)/SUMIFS('Facturas y gastos'!$D$10:$D$13,'Facturas y gastos'!$A$10:$A$13,A323)))</f>
        <v>56.014764599647862</v>
      </c>
      <c r="N323" s="8">
        <f>IF(J323="","",IF(SUMIFS('Facturas y gastos'!$D$10:$D$13,'Facturas y gastos'!$A$10:$A$13,A323)=0,"",J323*SUMIFS('Facturas y gastos'!$J$10:$J$13,'Facturas y gastos'!$A$10:$A$13,A323)/SUMIFS('Facturas y gastos'!$D$10:$D$13,'Facturas y gastos'!$A$10:$A$13,A323)))</f>
        <v>0</v>
      </c>
      <c r="O323" s="8">
        <f t="shared" si="8"/>
        <v>343.74651496631213</v>
      </c>
      <c r="P323" s="8" t="str">
        <f>IF(OR(O323="",'Facturas y gastos'!$B$24="",'Facturas y gastos'!$B$45&lt;&gt;"OK",SUM($O$8:$O$657)=0),"",O323*'Facturas y gastos'!$B$43/SUM($O$8:$O$657))</f>
        <v/>
      </c>
      <c r="Q323" s="8" t="str">
        <f>IF(OR(O323="",'Facturas y gastos'!$B$5="",P323=""),"",O323*'Facturas y gastos'!$B$5+P323)</f>
        <v/>
      </c>
      <c r="R323" s="8" t="str">
        <f t="shared" si="9"/>
        <v/>
      </c>
    </row>
    <row r="324" spans="1:18">
      <c r="A324" s="25" t="s">
        <v>61</v>
      </c>
      <c r="B324" s="25">
        <v>79</v>
      </c>
      <c r="C324" s="25" t="s">
        <v>472</v>
      </c>
      <c r="D324" s="25" t="s">
        <v>171</v>
      </c>
      <c r="E324" s="25" t="s">
        <v>108</v>
      </c>
      <c r="F324" s="27">
        <v>144</v>
      </c>
      <c r="G324" s="27">
        <v>3</v>
      </c>
      <c r="H324" s="29">
        <v>2.5099999999999998</v>
      </c>
      <c r="I324" s="29">
        <v>361.07</v>
      </c>
      <c r="J324" s="8">
        <f>IF(OR(A324="",I324=""),"",IF(SUMIFS($I$8:$I$657,$A$8:$A$657,A324)=0,"",I324*SUMIFS('Facturas y gastos'!$D$10:$D$13,'Facturas y gastos'!$A$10:$A$13,A324)/SUMIFS($I$8:$I$657,$A$8:$A$657,A324)))</f>
        <v>361.06990924320746</v>
      </c>
      <c r="K324" s="8">
        <f>IF(J324="","",IF(SUMIFS('Facturas y gastos'!$D$10:$D$13,'Facturas y gastos'!$A$10:$A$13,A324)=0,"",J324*SUMIFS('Facturas y gastos'!$G$10:$G$13,'Facturas y gastos'!$A$10:$A$13,A324)/SUMIFS('Facturas y gastos'!$D$10:$D$13,'Facturas y gastos'!$A$10:$A$13,A324)))</f>
        <v>3.6106682351226049</v>
      </c>
      <c r="L324" s="8">
        <f>IF(J324="","",IF(SUMIFS('Facturas y gastos'!$D$10:$D$13,'Facturas y gastos'!$A$10:$A$13,A324)=0,"",J324*SUMIFS('Facturas y gastos'!$H$10:$H$13,'Facturas y gastos'!$A$10:$A$13,A324)/SUMIFS('Facturas y gastos'!$D$10:$D$13,'Facturas y gastos'!$A$10:$A$13,A324)))</f>
        <v>10.832095462160373</v>
      </c>
      <c r="M324" s="8">
        <f>IF(J324="","",IF(SUMIFS('Facturas y gastos'!$D$10:$D$13,'Facturas y gastos'!$A$10:$A$13,A324)=0,"",J324*SUMIFS('Facturas y gastos'!$I$10:$I$13,'Facturas y gastos'!$A$10:$A$13,A324)/SUMIFS('Facturas y gastos'!$D$10:$D$13,'Facturas y gastos'!$A$10:$A$13,A324)))</f>
        <v>71.697866120723361</v>
      </c>
      <c r="N324" s="8">
        <f>IF(J324="","",IF(SUMIFS('Facturas y gastos'!$D$10:$D$13,'Facturas y gastos'!$A$10:$A$13,A324)=0,"",J324*SUMIFS('Facturas y gastos'!$J$10:$J$13,'Facturas y gastos'!$A$10:$A$13,A324)/SUMIFS('Facturas y gastos'!$D$10:$D$13,'Facturas y gastos'!$A$10:$A$13,A324)))</f>
        <v>0</v>
      </c>
      <c r="O324" s="8">
        <f t="shared" si="8"/>
        <v>439.9892025909686</v>
      </c>
      <c r="P324" s="8" t="str">
        <f>IF(OR(O324="",'Facturas y gastos'!$B$24="",'Facturas y gastos'!$B$45&lt;&gt;"OK",SUM($O$8:$O$657)=0),"",O324*'Facturas y gastos'!$B$43/SUM($O$8:$O$657))</f>
        <v/>
      </c>
      <c r="Q324" s="8" t="str">
        <f>IF(OR(O324="",'Facturas y gastos'!$B$5="",P324=""),"",O324*'Facturas y gastos'!$B$5+P324)</f>
        <v/>
      </c>
      <c r="R324" s="8" t="str">
        <f t="shared" si="9"/>
        <v/>
      </c>
    </row>
    <row r="325" spans="1:18">
      <c r="A325" s="25" t="s">
        <v>61</v>
      </c>
      <c r="B325" s="25">
        <v>80</v>
      </c>
      <c r="C325" s="25" t="s">
        <v>473</v>
      </c>
      <c r="D325" s="25" t="s">
        <v>171</v>
      </c>
      <c r="E325" s="25" t="s">
        <v>108</v>
      </c>
      <c r="F325" s="27">
        <v>144</v>
      </c>
      <c r="G325" s="27">
        <v>3</v>
      </c>
      <c r="H325" s="29">
        <v>3.22</v>
      </c>
      <c r="I325" s="29">
        <v>463.68</v>
      </c>
      <c r="J325" s="8">
        <f>IF(OR(A325="",I325=""),"",IF(SUMIFS($I$8:$I$657,$A$8:$A$657,A325)=0,"",I325*SUMIFS('Facturas y gastos'!$D$10:$D$13,'Facturas y gastos'!$A$10:$A$13,A325)/SUMIFS($I$8:$I$657,$A$8:$A$657,A325)))</f>
        <v>463.67988345165878</v>
      </c>
      <c r="K325" s="8">
        <f>IF(J325="","",IF(SUMIFS('Facturas y gastos'!$D$10:$D$13,'Facturas y gastos'!$A$10:$A$13,A325)=0,"",J325*SUMIFS('Facturas y gastos'!$G$10:$G$13,'Facturas y gastos'!$A$10:$A$13,A325)/SUMIFS('Facturas y gastos'!$D$10:$D$13,'Facturas y gastos'!$A$10:$A$13,A325)))</f>
        <v>4.6367592080805649</v>
      </c>
      <c r="L325" s="8">
        <f>IF(J325="","",IF(SUMIFS('Facturas y gastos'!$D$10:$D$13,'Facturas y gastos'!$A$10:$A$13,A325)=0,"",J325*SUMIFS('Facturas y gastos'!$H$10:$H$13,'Facturas y gastos'!$A$10:$A$13,A325)/SUMIFS('Facturas y gastos'!$D$10:$D$13,'Facturas y gastos'!$A$10:$A$13,A325)))</f>
        <v>13.910394172582938</v>
      </c>
      <c r="M325" s="8">
        <f>IF(J325="","",IF(SUMIFS('Facturas y gastos'!$D$10:$D$13,'Facturas y gastos'!$A$10:$A$13,A325)=0,"",J325*SUMIFS('Facturas y gastos'!$I$10:$I$13,'Facturas y gastos'!$A$10:$A$13,A325)/SUMIFS('Facturas y gastos'!$D$10:$D$13,'Facturas y gastos'!$A$10:$A$13,A325)))</f>
        <v>92.073189583341204</v>
      </c>
      <c r="N325" s="8">
        <f>IF(J325="","",IF(SUMIFS('Facturas y gastos'!$D$10:$D$13,'Facturas y gastos'!$A$10:$A$13,A325)=0,"",J325*SUMIFS('Facturas y gastos'!$J$10:$J$13,'Facturas y gastos'!$A$10:$A$13,A325)/SUMIFS('Facturas y gastos'!$D$10:$D$13,'Facturas y gastos'!$A$10:$A$13,A325)))</f>
        <v>0</v>
      </c>
      <c r="O325" s="8">
        <f t="shared" si="8"/>
        <v>565.02670799950238</v>
      </c>
      <c r="P325" s="8" t="str">
        <f>IF(OR(O325="",'Facturas y gastos'!$B$24="",'Facturas y gastos'!$B$45&lt;&gt;"OK",SUM($O$8:$O$657)=0),"",O325*'Facturas y gastos'!$B$43/SUM($O$8:$O$657))</f>
        <v/>
      </c>
      <c r="Q325" s="8" t="str">
        <f>IF(OR(O325="",'Facturas y gastos'!$B$5="",P325=""),"",O325*'Facturas y gastos'!$B$5+P325)</f>
        <v/>
      </c>
      <c r="R325" s="8" t="str">
        <f t="shared" si="9"/>
        <v/>
      </c>
    </row>
    <row r="326" spans="1:18">
      <c r="A326" s="25" t="s">
        <v>61</v>
      </c>
      <c r="B326" s="25">
        <v>81</v>
      </c>
      <c r="C326" s="25" t="s">
        <v>474</v>
      </c>
      <c r="D326" s="25" t="s">
        <v>171</v>
      </c>
      <c r="E326" s="25" t="s">
        <v>108</v>
      </c>
      <c r="F326" s="27">
        <v>144</v>
      </c>
      <c r="G326" s="27">
        <v>2</v>
      </c>
      <c r="H326" s="29">
        <v>3.27</v>
      </c>
      <c r="I326" s="29">
        <v>470.69</v>
      </c>
      <c r="J326" s="8">
        <f>IF(OR(A326="",I326=""),"",IF(SUMIFS($I$8:$I$657,$A$8:$A$657,A326)=0,"",I326*SUMIFS('Facturas y gastos'!$D$10:$D$13,'Facturas y gastos'!$A$10:$A$13,A326)/SUMIFS($I$8:$I$657,$A$8:$A$657,A326)))</f>
        <v>470.68988168965944</v>
      </c>
      <c r="K326" s="8">
        <f>IF(J326="","",IF(SUMIFS('Facturas y gastos'!$D$10:$D$13,'Facturas y gastos'!$A$10:$A$13,A326)=0,"",J326*SUMIFS('Facturas y gastos'!$G$10:$G$13,'Facturas y gastos'!$A$10:$A$13,A326)/SUMIFS('Facturas y gastos'!$D$10:$D$13,'Facturas y gastos'!$A$10:$A$13,A326)))</f>
        <v>4.7068585913807821</v>
      </c>
      <c r="L326" s="8">
        <f>IF(J326="","",IF(SUMIFS('Facturas y gastos'!$D$10:$D$13,'Facturas y gastos'!$A$10:$A$13,A326)=0,"",J326*SUMIFS('Facturas y gastos'!$H$10:$H$13,'Facturas y gastos'!$A$10:$A$13,A326)/SUMIFS('Facturas y gastos'!$D$10:$D$13,'Facturas y gastos'!$A$10:$A$13,A326)))</f>
        <v>14.120694084482972</v>
      </c>
      <c r="M326" s="8">
        <f>IF(J326="","",IF(SUMIFS('Facturas y gastos'!$D$10:$D$13,'Facturas y gastos'!$A$10:$A$13,A326)=0,"",J326*SUMIFS('Facturas y gastos'!$I$10:$I$13,'Facturas y gastos'!$A$10:$A$13,A326)/SUMIFS('Facturas y gastos'!$D$10:$D$13,'Facturas y gastos'!$A$10:$A$13,A326)))</f>
        <v>93.46516909287196</v>
      </c>
      <c r="N326" s="8">
        <f>IF(J326="","",IF(SUMIFS('Facturas y gastos'!$D$10:$D$13,'Facturas y gastos'!$A$10:$A$13,A326)=0,"",J326*SUMIFS('Facturas y gastos'!$J$10:$J$13,'Facturas y gastos'!$A$10:$A$13,A326)/SUMIFS('Facturas y gastos'!$D$10:$D$13,'Facturas y gastos'!$A$10:$A$13,A326)))</f>
        <v>0</v>
      </c>
      <c r="O326" s="8">
        <f t="shared" si="8"/>
        <v>573.56888627563353</v>
      </c>
      <c r="P326" s="8" t="str">
        <f>IF(OR(O326="",'Facturas y gastos'!$B$24="",'Facturas y gastos'!$B$45&lt;&gt;"OK",SUM($O$8:$O$657)=0),"",O326*'Facturas y gastos'!$B$43/SUM($O$8:$O$657))</f>
        <v/>
      </c>
      <c r="Q326" s="8" t="str">
        <f>IF(OR(O326="",'Facturas y gastos'!$B$5="",P326=""),"",O326*'Facturas y gastos'!$B$5+P326)</f>
        <v/>
      </c>
      <c r="R326" s="8" t="str">
        <f t="shared" si="9"/>
        <v/>
      </c>
    </row>
    <row r="327" spans="1:18">
      <c r="A327" s="25" t="s">
        <v>61</v>
      </c>
      <c r="B327" s="25">
        <v>82</v>
      </c>
      <c r="C327" s="25" t="s">
        <v>475</v>
      </c>
      <c r="D327" s="25" t="s">
        <v>171</v>
      </c>
      <c r="E327" s="25" t="s">
        <v>108</v>
      </c>
      <c r="F327" s="27">
        <v>288</v>
      </c>
      <c r="G327" s="27">
        <v>3</v>
      </c>
      <c r="H327" s="29">
        <v>1.06</v>
      </c>
      <c r="I327" s="29">
        <v>305.19</v>
      </c>
      <c r="J327" s="8">
        <f>IF(OR(A327="",I327=""),"",IF(SUMIFS($I$8:$I$657,$A$8:$A$657,A327)=0,"",I327*SUMIFS('Facturas y gastos'!$D$10:$D$13,'Facturas y gastos'!$A$10:$A$13,A327)/SUMIFS($I$8:$I$657,$A$8:$A$657,A327)))</f>
        <v>305.18992328893148</v>
      </c>
      <c r="K327" s="8">
        <f>IF(J327="","",IF(SUMIFS('Facturas y gastos'!$D$10:$D$13,'Facturas y gastos'!$A$10:$A$13,A327)=0,"",J327*SUMIFS('Facturas y gastos'!$G$10:$G$13,'Facturas y gastos'!$A$10:$A$13,A327)/SUMIFS('Facturas y gastos'!$D$10:$D$13,'Facturas y gastos'!$A$10:$A$13,A327)))</f>
        <v>3.0518731511260087</v>
      </c>
      <c r="L327" s="8">
        <f>IF(J327="","",IF(SUMIFS('Facturas y gastos'!$D$10:$D$13,'Facturas y gastos'!$A$10:$A$13,A327)=0,"",J327*SUMIFS('Facturas y gastos'!$H$10:$H$13,'Facturas y gastos'!$A$10:$A$13,A327)/SUMIFS('Facturas y gastos'!$D$10:$D$13,'Facturas y gastos'!$A$10:$A$13,A327)))</f>
        <v>9.1556961644465744</v>
      </c>
      <c r="M327" s="8">
        <f>IF(J327="","",IF(SUMIFS('Facturas y gastos'!$D$10:$D$13,'Facturas y gastos'!$A$10:$A$13,A327)=0,"",J327*SUMIFS('Facturas y gastos'!$I$10:$I$13,'Facturas y gastos'!$A$10:$A$13,A327)/SUMIFS('Facturas y gastos'!$D$10:$D$13,'Facturas y gastos'!$A$10:$A$13,A327)))</f>
        <v>60.601744153165761</v>
      </c>
      <c r="N327" s="8">
        <f>IF(J327="","",IF(SUMIFS('Facturas y gastos'!$D$10:$D$13,'Facturas y gastos'!$A$10:$A$13,A327)=0,"",J327*SUMIFS('Facturas y gastos'!$J$10:$J$13,'Facturas y gastos'!$A$10:$A$13,A327)/SUMIFS('Facturas y gastos'!$D$10:$D$13,'Facturas y gastos'!$A$10:$A$13,A327)))</f>
        <v>0</v>
      </c>
      <c r="O327" s="8">
        <f t="shared" si="8"/>
        <v>371.89549045541781</v>
      </c>
      <c r="P327" s="8" t="str">
        <f>IF(OR(O327="",'Facturas y gastos'!$B$24="",'Facturas y gastos'!$B$45&lt;&gt;"OK",SUM($O$8:$O$657)=0),"",O327*'Facturas y gastos'!$B$43/SUM($O$8:$O$657))</f>
        <v/>
      </c>
      <c r="Q327" s="8" t="str">
        <f>IF(OR(O327="",'Facturas y gastos'!$B$5="",P327=""),"",O327*'Facturas y gastos'!$B$5+P327)</f>
        <v/>
      </c>
      <c r="R327" s="8" t="str">
        <f t="shared" si="9"/>
        <v/>
      </c>
    </row>
    <row r="328" spans="1:18">
      <c r="A328" s="25" t="s">
        <v>61</v>
      </c>
      <c r="B328" s="25">
        <v>83</v>
      </c>
      <c r="C328" s="25" t="s">
        <v>476</v>
      </c>
      <c r="D328" s="25" t="s">
        <v>263</v>
      </c>
      <c r="E328" s="25" t="s">
        <v>108</v>
      </c>
      <c r="F328" s="27">
        <v>20</v>
      </c>
      <c r="G328" s="27">
        <v>5</v>
      </c>
      <c r="H328" s="29">
        <v>22.09</v>
      </c>
      <c r="I328" s="29">
        <v>441.79</v>
      </c>
      <c r="J328" s="8">
        <f>IF(OR(A328="",I328=""),"",IF(SUMIFS($I$8:$I$657,$A$8:$A$657,A328)=0,"",I328*SUMIFS('Facturas y gastos'!$D$10:$D$13,'Facturas y gastos'!$A$10:$A$13,A328)/SUMIFS($I$8:$I$657,$A$8:$A$657,A328)))</f>
        <v>441.78988895382236</v>
      </c>
      <c r="K328" s="8">
        <f>IF(J328="","",IF(SUMIFS('Facturas y gastos'!$D$10:$D$13,'Facturas y gastos'!$A$10:$A$13,A328)=0,"",J328*SUMIFS('Facturas y gastos'!$G$10:$G$13,'Facturas y gastos'!$A$10:$A$13,A328)/SUMIFS('Facturas y gastos'!$D$10:$D$13,'Facturas y gastos'!$A$10:$A$13,A328)))</f>
        <v>4.4178611338378033</v>
      </c>
      <c r="L328" s="8">
        <f>IF(J328="","",IF(SUMIFS('Facturas y gastos'!$D$10:$D$13,'Facturas y gastos'!$A$10:$A$13,A328)=0,"",J328*SUMIFS('Facturas y gastos'!$H$10:$H$13,'Facturas y gastos'!$A$10:$A$13,A328)/SUMIFS('Facturas y gastos'!$D$10:$D$13,'Facturas y gastos'!$A$10:$A$13,A328)))</f>
        <v>13.253694447691119</v>
      </c>
      <c r="M328" s="8">
        <f>IF(J328="","",IF(SUMIFS('Facturas y gastos'!$D$10:$D$13,'Facturas y gastos'!$A$10:$A$13,A328)=0,"",J328*SUMIFS('Facturas y gastos'!$I$10:$I$13,'Facturas y gastos'!$A$10:$A$13,A328)/SUMIFS('Facturas y gastos'!$D$10:$D$13,'Facturas y gastos'!$A$10:$A$13,A328)))</f>
        <v>87.726480387388534</v>
      </c>
      <c r="N328" s="8">
        <f>IF(J328="","",IF(SUMIFS('Facturas y gastos'!$D$10:$D$13,'Facturas y gastos'!$A$10:$A$13,A328)=0,"",J328*SUMIFS('Facturas y gastos'!$J$10:$J$13,'Facturas y gastos'!$A$10:$A$13,A328)/SUMIFS('Facturas y gastos'!$D$10:$D$13,'Facturas y gastos'!$A$10:$A$13,A328)))</f>
        <v>0</v>
      </c>
      <c r="O328" s="8">
        <f t="shared" ref="O328:O391" si="10">IF(J328="","",J328-K328+L328+M328+N328)</f>
        <v>538.35220265506427</v>
      </c>
      <c r="P328" s="8" t="str">
        <f>IF(OR(O328="",'Facturas y gastos'!$B$24="",'Facturas y gastos'!$B$45&lt;&gt;"OK",SUM($O$8:$O$657)=0),"",O328*'Facturas y gastos'!$B$43/SUM($O$8:$O$657))</f>
        <v/>
      </c>
      <c r="Q328" s="8" t="str">
        <f>IF(OR(O328="",'Facturas y gastos'!$B$5="",P328=""),"",O328*'Facturas y gastos'!$B$5+P328)</f>
        <v/>
      </c>
      <c r="R328" s="8" t="str">
        <f t="shared" ref="R328:R391" si="11">IF(OR(Q328="",F328="",F328=0),"",Q328/F328)</f>
        <v/>
      </c>
    </row>
    <row r="329" spans="1:18">
      <c r="A329" s="25" t="s">
        <v>61</v>
      </c>
      <c r="B329" s="25">
        <v>84</v>
      </c>
      <c r="C329" s="25" t="s">
        <v>477</v>
      </c>
      <c r="D329" s="25" t="s">
        <v>263</v>
      </c>
      <c r="E329" s="25" t="s">
        <v>108</v>
      </c>
      <c r="F329" s="27">
        <v>20</v>
      </c>
      <c r="G329" s="27">
        <v>5</v>
      </c>
      <c r="H329" s="29">
        <v>19.100000000000001</v>
      </c>
      <c r="I329" s="29">
        <v>382.09</v>
      </c>
      <c r="J329" s="8">
        <f>IF(OR(A329="",I329=""),"",IF(SUMIFS($I$8:$I$657,$A$8:$A$657,A329)=0,"",I329*SUMIFS('Facturas y gastos'!$D$10:$D$13,'Facturas y gastos'!$A$10:$A$13,A329)/SUMIFS($I$8:$I$657,$A$8:$A$657,A329)))</f>
        <v>382.0899039597229</v>
      </c>
      <c r="K329" s="8">
        <f>IF(J329="","",IF(SUMIFS('Facturas y gastos'!$D$10:$D$13,'Facturas y gastos'!$A$10:$A$13,A329)=0,"",J329*SUMIFS('Facturas y gastos'!$G$10:$G$13,'Facturas y gastos'!$A$10:$A$13,A329)/SUMIFS('Facturas y gastos'!$D$10:$D$13,'Facturas y gastos'!$A$10:$A$13,A329)))</f>
        <v>3.8208663859030003</v>
      </c>
      <c r="L329" s="8">
        <f>IF(J329="","",IF(SUMIFS('Facturas y gastos'!$D$10:$D$13,'Facturas y gastos'!$A$10:$A$13,A329)=0,"",J329*SUMIFS('Facturas y gastos'!$H$10:$H$13,'Facturas y gastos'!$A$10:$A$13,A329)/SUMIFS('Facturas y gastos'!$D$10:$D$13,'Facturas y gastos'!$A$10:$A$13,A329)))</f>
        <v>11.462695197986145</v>
      </c>
      <c r="M329" s="8">
        <f>IF(J329="","",IF(SUMIFS('Facturas y gastos'!$D$10:$D$13,'Facturas y gastos'!$A$10:$A$13,A329)=0,"",J329*SUMIFS('Facturas y gastos'!$I$10:$I$13,'Facturas y gastos'!$A$10:$A$13,A329)/SUMIFS('Facturas y gastos'!$D$10:$D$13,'Facturas y gastos'!$A$10:$A$13,A329)))</f>
        <v>75.871818943881223</v>
      </c>
      <c r="N329" s="8">
        <f>IF(J329="","",IF(SUMIFS('Facturas y gastos'!$D$10:$D$13,'Facturas y gastos'!$A$10:$A$13,A329)=0,"",J329*SUMIFS('Facturas y gastos'!$J$10:$J$13,'Facturas y gastos'!$A$10:$A$13,A329)/SUMIFS('Facturas y gastos'!$D$10:$D$13,'Facturas y gastos'!$A$10:$A$13,A329)))</f>
        <v>0</v>
      </c>
      <c r="O329" s="8">
        <f t="shared" si="10"/>
        <v>465.60355171568727</v>
      </c>
      <c r="P329" s="8" t="str">
        <f>IF(OR(O329="",'Facturas y gastos'!$B$24="",'Facturas y gastos'!$B$45&lt;&gt;"OK",SUM($O$8:$O$657)=0),"",O329*'Facturas y gastos'!$B$43/SUM($O$8:$O$657))</f>
        <v/>
      </c>
      <c r="Q329" s="8" t="str">
        <f>IF(OR(O329="",'Facturas y gastos'!$B$5="",P329=""),"",O329*'Facturas y gastos'!$B$5+P329)</f>
        <v/>
      </c>
      <c r="R329" s="8" t="str">
        <f t="shared" si="11"/>
        <v/>
      </c>
    </row>
    <row r="330" spans="1:18">
      <c r="A330" s="25" t="s">
        <v>61</v>
      </c>
      <c r="B330" s="25">
        <v>85</v>
      </c>
      <c r="C330" s="25" t="s">
        <v>478</v>
      </c>
      <c r="D330" s="25" t="s">
        <v>263</v>
      </c>
      <c r="E330" s="25" t="s">
        <v>108</v>
      </c>
      <c r="F330" s="27">
        <v>20</v>
      </c>
      <c r="G330" s="27">
        <v>5</v>
      </c>
      <c r="H330" s="29">
        <v>21.64</v>
      </c>
      <c r="I330" s="29">
        <v>432.84</v>
      </c>
      <c r="J330" s="8">
        <f>IF(OR(A330="",I330=""),"",IF(SUMIFS($I$8:$I$657,$A$8:$A$657,A330)=0,"",I330*SUMIFS('Facturas y gastos'!$D$10:$D$13,'Facturas y gastos'!$A$10:$A$13,A330)/SUMIFS($I$8:$I$657,$A$8:$A$657,A330)))</f>
        <v>432.83989120345063</v>
      </c>
      <c r="K330" s="8">
        <f>IF(J330="","",IF(SUMIFS('Facturas y gastos'!$D$10:$D$13,'Facturas y gastos'!$A$10:$A$13,A330)=0,"",J330*SUMIFS('Facturas y gastos'!$G$10:$G$13,'Facturas y gastos'!$A$10:$A$13,A330)/SUMIFS('Facturas y gastos'!$D$10:$D$13,'Facturas y gastos'!$A$10:$A$13,A330)))</f>
        <v>4.3283619212077111</v>
      </c>
      <c r="L330" s="8">
        <f>IF(J330="","",IF(SUMIFS('Facturas y gastos'!$D$10:$D$13,'Facturas y gastos'!$A$10:$A$13,A330)=0,"",J330*SUMIFS('Facturas y gastos'!$H$10:$H$13,'Facturas y gastos'!$A$10:$A$13,A330)/SUMIFS('Facturas y gastos'!$D$10:$D$13,'Facturas y gastos'!$A$10:$A$13,A330)))</f>
        <v>12.985194560172532</v>
      </c>
      <c r="M330" s="8">
        <f>IF(J330="","",IF(SUMIFS('Facturas y gastos'!$D$10:$D$13,'Facturas y gastos'!$A$10:$A$13,A330)=0,"",J330*SUMIFS('Facturas y gastos'!$I$10:$I$13,'Facturas y gastos'!$A$10:$A$13,A330)/SUMIFS('Facturas y gastos'!$D$10:$D$13,'Facturas y gastos'!$A$10:$A$13,A330)))</f>
        <v>85.949274023579633</v>
      </c>
      <c r="N330" s="8">
        <f>IF(J330="","",IF(SUMIFS('Facturas y gastos'!$D$10:$D$13,'Facturas y gastos'!$A$10:$A$13,A330)=0,"",J330*SUMIFS('Facturas y gastos'!$J$10:$J$13,'Facturas y gastos'!$A$10:$A$13,A330)/SUMIFS('Facturas y gastos'!$D$10:$D$13,'Facturas y gastos'!$A$10:$A$13,A330)))</f>
        <v>0</v>
      </c>
      <c r="O330" s="8">
        <f t="shared" si="10"/>
        <v>527.44599786599508</v>
      </c>
      <c r="P330" s="8" t="str">
        <f>IF(OR(O330="",'Facturas y gastos'!$B$24="",'Facturas y gastos'!$B$45&lt;&gt;"OK",SUM($O$8:$O$657)=0),"",O330*'Facturas y gastos'!$B$43/SUM($O$8:$O$657))</f>
        <v/>
      </c>
      <c r="Q330" s="8" t="str">
        <f>IF(OR(O330="",'Facturas y gastos'!$B$5="",P330=""),"",O330*'Facturas y gastos'!$B$5+P330)</f>
        <v/>
      </c>
      <c r="R330" s="8" t="str">
        <f t="shared" si="11"/>
        <v/>
      </c>
    </row>
    <row r="331" spans="1:18">
      <c r="A331" s="25" t="s">
        <v>61</v>
      </c>
      <c r="B331" s="25">
        <v>86</v>
      </c>
      <c r="C331" s="25" t="s">
        <v>479</v>
      </c>
      <c r="D331" s="25" t="s">
        <v>263</v>
      </c>
      <c r="E331" s="25" t="s">
        <v>108</v>
      </c>
      <c r="F331" s="27">
        <v>20</v>
      </c>
      <c r="G331" s="27">
        <v>5</v>
      </c>
      <c r="H331" s="29">
        <v>16.72</v>
      </c>
      <c r="I331" s="29">
        <v>334.33</v>
      </c>
      <c r="J331" s="8">
        <f>IF(OR(A331="",I331=""),"",IF(SUMIFS($I$8:$I$657,$A$8:$A$657,A331)=0,"",I331*SUMIFS('Facturas y gastos'!$D$10:$D$13,'Facturas y gastos'!$A$10:$A$13,A331)/SUMIFS($I$8:$I$657,$A$8:$A$657,A331)))</f>
        <v>334.32991596444333</v>
      </c>
      <c r="K331" s="8">
        <f>IF(J331="","",IF(SUMIFS('Facturas y gastos'!$D$10:$D$13,'Facturas y gastos'!$A$10:$A$13,A331)=0,"",J331*SUMIFS('Facturas y gastos'!$G$10:$G$13,'Facturas y gastos'!$A$10:$A$13,A331)/SUMIFS('Facturas y gastos'!$D$10:$D$13,'Facturas y gastos'!$A$10:$A$13,A331)))</f>
        <v>3.3432705875551574</v>
      </c>
      <c r="L331" s="8">
        <f>IF(J331="","",IF(SUMIFS('Facturas y gastos'!$D$10:$D$13,'Facturas y gastos'!$A$10:$A$13,A331)=0,"",J331*SUMIFS('Facturas y gastos'!$H$10:$H$13,'Facturas y gastos'!$A$10:$A$13,A331)/SUMIFS('Facturas y gastos'!$D$10:$D$13,'Facturas y gastos'!$A$10:$A$13,A331)))</f>
        <v>10.029895798222167</v>
      </c>
      <c r="M331" s="8">
        <f>IF(J331="","",IF(SUMIFS('Facturas y gastos'!$D$10:$D$13,'Facturas y gastos'!$A$10:$A$13,A331)=0,"",J331*SUMIFS('Facturas y gastos'!$I$10:$I$13,'Facturas y gastos'!$A$10:$A$13,A331)/SUMIFS('Facturas y gastos'!$D$10:$D$13,'Facturas y gastos'!$A$10:$A$13,A331)))</f>
        <v>66.388089789075366</v>
      </c>
      <c r="N331" s="8">
        <f>IF(J331="","",IF(SUMIFS('Facturas y gastos'!$D$10:$D$13,'Facturas y gastos'!$A$10:$A$13,A331)=0,"",J331*SUMIFS('Facturas y gastos'!$J$10:$J$13,'Facturas y gastos'!$A$10:$A$13,A331)/SUMIFS('Facturas y gastos'!$D$10:$D$13,'Facturas y gastos'!$A$10:$A$13,A331)))</f>
        <v>0</v>
      </c>
      <c r="O331" s="8">
        <f t="shared" si="10"/>
        <v>407.40463096418574</v>
      </c>
      <c r="P331" s="8" t="str">
        <f>IF(OR(O331="",'Facturas y gastos'!$B$24="",'Facturas y gastos'!$B$45&lt;&gt;"OK",SUM($O$8:$O$657)=0),"",O331*'Facturas y gastos'!$B$43/SUM($O$8:$O$657))</f>
        <v/>
      </c>
      <c r="Q331" s="8" t="str">
        <f>IF(OR(O331="",'Facturas y gastos'!$B$5="",P331=""),"",O331*'Facturas y gastos'!$B$5+P331)</f>
        <v/>
      </c>
      <c r="R331" s="8" t="str">
        <f t="shared" si="11"/>
        <v/>
      </c>
    </row>
    <row r="332" spans="1:18">
      <c r="A332" s="25" t="s">
        <v>61</v>
      </c>
      <c r="B332" s="25">
        <v>87</v>
      </c>
      <c r="C332" s="25" t="s">
        <v>480</v>
      </c>
      <c r="D332" s="25" t="s">
        <v>263</v>
      </c>
      <c r="E332" s="25" t="s">
        <v>108</v>
      </c>
      <c r="F332" s="27">
        <v>20</v>
      </c>
      <c r="G332" s="27">
        <v>5</v>
      </c>
      <c r="H332" s="29">
        <v>15.67</v>
      </c>
      <c r="I332" s="29">
        <v>313.43</v>
      </c>
      <c r="J332" s="8">
        <f>IF(OR(A332="",I332=""),"",IF(SUMIFS($I$8:$I$657,$A$8:$A$657,A332)=0,"",I332*SUMIFS('Facturas y gastos'!$D$10:$D$13,'Facturas y gastos'!$A$10:$A$13,A332)/SUMIFS($I$8:$I$657,$A$8:$A$657,A332)))</f>
        <v>313.4299212177653</v>
      </c>
      <c r="K332" s="8">
        <f>IF(J332="","",IF(SUMIFS('Facturas y gastos'!$D$10:$D$13,'Facturas y gastos'!$A$10:$A$13,A332)=0,"",J332*SUMIFS('Facturas y gastos'!$G$10:$G$13,'Facturas y gastos'!$A$10:$A$13,A332)/SUMIFS('Facturas y gastos'!$D$10:$D$13,'Facturas y gastos'!$A$10:$A$13,A332)))</f>
        <v>3.1342724262178474</v>
      </c>
      <c r="L332" s="8">
        <f>IF(J332="","",IF(SUMIFS('Facturas y gastos'!$D$10:$D$13,'Facturas y gastos'!$A$10:$A$13,A332)=0,"",J332*SUMIFS('Facturas y gastos'!$H$10:$H$13,'Facturas y gastos'!$A$10:$A$13,A332)/SUMIFS('Facturas y gastos'!$D$10:$D$13,'Facturas y gastos'!$A$10:$A$13,A332)))</f>
        <v>9.4028960608882652</v>
      </c>
      <c r="M332" s="8">
        <f>IF(J332="","",IF(SUMIFS('Facturas y gastos'!$D$10:$D$13,'Facturas y gastos'!$A$10:$A$13,A332)=0,"",J332*SUMIFS('Facturas y gastos'!$I$10:$I$13,'Facturas y gastos'!$A$10:$A$13,A332)/SUMIFS('Facturas y gastos'!$D$10:$D$13,'Facturas y gastos'!$A$10:$A$13,A332)))</f>
        <v>62.237965431130597</v>
      </c>
      <c r="N332" s="8">
        <f>IF(J332="","",IF(SUMIFS('Facturas y gastos'!$D$10:$D$13,'Facturas y gastos'!$A$10:$A$13,A332)=0,"",J332*SUMIFS('Facturas y gastos'!$J$10:$J$13,'Facturas y gastos'!$A$10:$A$13,A332)/SUMIFS('Facturas y gastos'!$D$10:$D$13,'Facturas y gastos'!$A$10:$A$13,A332)))</f>
        <v>0</v>
      </c>
      <c r="O332" s="8">
        <f t="shared" si="10"/>
        <v>381.93651028356635</v>
      </c>
      <c r="P332" s="8" t="str">
        <f>IF(OR(O332="",'Facturas y gastos'!$B$24="",'Facturas y gastos'!$B$45&lt;&gt;"OK",SUM($O$8:$O$657)=0),"",O332*'Facturas y gastos'!$B$43/SUM($O$8:$O$657))</f>
        <v/>
      </c>
      <c r="Q332" s="8" t="str">
        <f>IF(OR(O332="",'Facturas y gastos'!$B$5="",P332=""),"",O332*'Facturas y gastos'!$B$5+P332)</f>
        <v/>
      </c>
      <c r="R332" s="8" t="str">
        <f t="shared" si="11"/>
        <v/>
      </c>
    </row>
    <row r="333" spans="1:18">
      <c r="A333" s="25" t="s">
        <v>61</v>
      </c>
      <c r="B333" s="25">
        <v>88</v>
      </c>
      <c r="C333" s="25" t="s">
        <v>481</v>
      </c>
      <c r="D333" s="25" t="s">
        <v>263</v>
      </c>
      <c r="E333" s="25" t="s">
        <v>108</v>
      </c>
      <c r="F333" s="27">
        <v>20</v>
      </c>
      <c r="G333" s="27">
        <v>5</v>
      </c>
      <c r="H333" s="29">
        <v>19.7</v>
      </c>
      <c r="I333" s="29">
        <v>394.03</v>
      </c>
      <c r="J333" s="8">
        <f>IF(OR(A333="",I333=""),"",IF(SUMIFS($I$8:$I$657,$A$8:$A$657,A333)=0,"",I333*SUMIFS('Facturas y gastos'!$D$10:$D$13,'Facturas y gastos'!$A$10:$A$13,A333)/SUMIFS($I$8:$I$657,$A$8:$A$657,A333)))</f>
        <v>394.02990095854278</v>
      </c>
      <c r="K333" s="8">
        <f>IF(J333="","",IF(SUMIFS('Facturas y gastos'!$D$10:$D$13,'Facturas y gastos'!$A$10:$A$13,A333)=0,"",J333*SUMIFS('Facturas y gastos'!$G$10:$G$13,'Facturas y gastos'!$A$10:$A$13,A333)/SUMIFS('Facturas y gastos'!$D$10:$D$13,'Facturas y gastos'!$A$10:$A$13,A333)))</f>
        <v>3.9402653354899608</v>
      </c>
      <c r="L333" s="8">
        <f>IF(J333="","",IF(SUMIFS('Facturas y gastos'!$D$10:$D$13,'Facturas y gastos'!$A$10:$A$13,A333)=0,"",J333*SUMIFS('Facturas y gastos'!$H$10:$H$13,'Facturas y gastos'!$A$10:$A$13,A333)/SUMIFS('Facturas y gastos'!$D$10:$D$13,'Facturas y gastos'!$A$10:$A$13,A333)))</f>
        <v>11.820895047927138</v>
      </c>
      <c r="M333" s="8">
        <f>IF(J333="","",IF(SUMIFS('Facturas y gastos'!$D$10:$D$13,'Facturas y gastos'!$A$10:$A$13,A333)=0,"",J333*SUMIFS('Facturas y gastos'!$I$10:$I$13,'Facturas y gastos'!$A$10:$A$13,A333)/SUMIFS('Facturas y gastos'!$D$10:$D$13,'Facturas y gastos'!$A$10:$A$13,A333)))</f>
        <v>78.242751232582677</v>
      </c>
      <c r="N333" s="8">
        <f>IF(J333="","",IF(SUMIFS('Facturas y gastos'!$D$10:$D$13,'Facturas y gastos'!$A$10:$A$13,A333)=0,"",J333*SUMIFS('Facturas y gastos'!$J$10:$J$13,'Facturas y gastos'!$A$10:$A$13,A333)/SUMIFS('Facturas y gastos'!$D$10:$D$13,'Facturas y gastos'!$A$10:$A$13,A333)))</f>
        <v>0</v>
      </c>
      <c r="O333" s="8">
        <f t="shared" si="10"/>
        <v>480.15328190356263</v>
      </c>
      <c r="P333" s="8" t="str">
        <f>IF(OR(O333="",'Facturas y gastos'!$B$24="",'Facturas y gastos'!$B$45&lt;&gt;"OK",SUM($O$8:$O$657)=0),"",O333*'Facturas y gastos'!$B$43/SUM($O$8:$O$657))</f>
        <v/>
      </c>
      <c r="Q333" s="8" t="str">
        <f>IF(OR(O333="",'Facturas y gastos'!$B$5="",P333=""),"",O333*'Facturas y gastos'!$B$5+P333)</f>
        <v/>
      </c>
      <c r="R333" s="8" t="str">
        <f t="shared" si="11"/>
        <v/>
      </c>
    </row>
    <row r="334" spans="1:18">
      <c r="A334" s="25" t="s">
        <v>61</v>
      </c>
      <c r="B334" s="25">
        <v>89</v>
      </c>
      <c r="C334" s="25" t="s">
        <v>482</v>
      </c>
      <c r="D334" s="25" t="s">
        <v>263</v>
      </c>
      <c r="E334" s="25" t="s">
        <v>108</v>
      </c>
      <c r="F334" s="27">
        <v>30</v>
      </c>
      <c r="G334" s="27">
        <v>5</v>
      </c>
      <c r="H334" s="29">
        <v>10.75</v>
      </c>
      <c r="I334" s="29">
        <v>322.39</v>
      </c>
      <c r="J334" s="8">
        <f>IF(OR(A334="",I334=""),"",IF(SUMIFS($I$8:$I$657,$A$8:$A$657,A334)=0,"",I334*SUMIFS('Facturas y gastos'!$D$10:$D$13,'Facturas y gastos'!$A$10:$A$13,A334)/SUMIFS($I$8:$I$657,$A$8:$A$657,A334)))</f>
        <v>322.38991896562345</v>
      </c>
      <c r="K334" s="8">
        <f>IF(J334="","",IF(SUMIFS('Facturas y gastos'!$D$10:$D$13,'Facturas y gastos'!$A$10:$A$13,A334)=0,"",J334*SUMIFS('Facturas y gastos'!$G$10:$G$13,'Facturas y gastos'!$A$10:$A$13,A334)/SUMIFS('Facturas y gastos'!$D$10:$D$13,'Facturas y gastos'!$A$10:$A$13,A334)))</f>
        <v>3.2238716379681964</v>
      </c>
      <c r="L334" s="8">
        <f>IF(J334="","",IF(SUMIFS('Facturas y gastos'!$D$10:$D$13,'Facturas y gastos'!$A$10:$A$13,A334)=0,"",J334*SUMIFS('Facturas y gastos'!$H$10:$H$13,'Facturas y gastos'!$A$10:$A$13,A334)/SUMIFS('Facturas y gastos'!$D$10:$D$13,'Facturas y gastos'!$A$10:$A$13,A334)))</f>
        <v>9.6716959482811724</v>
      </c>
      <c r="M334" s="8">
        <f>IF(J334="","",IF(SUMIFS('Facturas y gastos'!$D$10:$D$13,'Facturas y gastos'!$A$10:$A$13,A334)=0,"",J334*SUMIFS('Facturas y gastos'!$I$10:$I$13,'Facturas y gastos'!$A$10:$A$13,A334)/SUMIFS('Facturas y gastos'!$D$10:$D$13,'Facturas y gastos'!$A$10:$A$13,A334)))</f>
        <v>64.017157500373898</v>
      </c>
      <c r="N334" s="8">
        <f>IF(J334="","",IF(SUMIFS('Facturas y gastos'!$D$10:$D$13,'Facturas y gastos'!$A$10:$A$13,A334)=0,"",J334*SUMIFS('Facturas y gastos'!$J$10:$J$13,'Facturas y gastos'!$A$10:$A$13,A334)/SUMIFS('Facturas y gastos'!$D$10:$D$13,'Facturas y gastos'!$A$10:$A$13,A334)))</f>
        <v>0</v>
      </c>
      <c r="O334" s="8">
        <f t="shared" si="10"/>
        <v>392.85490077631033</v>
      </c>
      <c r="P334" s="8" t="str">
        <f>IF(OR(O334="",'Facturas y gastos'!$B$24="",'Facturas y gastos'!$B$45&lt;&gt;"OK",SUM($O$8:$O$657)=0),"",O334*'Facturas y gastos'!$B$43/SUM($O$8:$O$657))</f>
        <v/>
      </c>
      <c r="Q334" s="8" t="str">
        <f>IF(OR(O334="",'Facturas y gastos'!$B$5="",P334=""),"",O334*'Facturas y gastos'!$B$5+P334)</f>
        <v/>
      </c>
      <c r="R334" s="8" t="str">
        <f t="shared" si="11"/>
        <v/>
      </c>
    </row>
    <row r="335" spans="1:18">
      <c r="A335" s="25" t="s">
        <v>61</v>
      </c>
      <c r="B335" s="25">
        <v>90</v>
      </c>
      <c r="C335" s="25" t="s">
        <v>483</v>
      </c>
      <c r="D335" s="25" t="s">
        <v>263</v>
      </c>
      <c r="E335" s="25" t="s">
        <v>108</v>
      </c>
      <c r="F335" s="27">
        <v>20</v>
      </c>
      <c r="G335" s="27">
        <v>5</v>
      </c>
      <c r="H335" s="29">
        <v>15.37</v>
      </c>
      <c r="I335" s="29">
        <v>307.45999999999998</v>
      </c>
      <c r="J335" s="8">
        <f>IF(OR(A335="",I335=""),"",IF(SUMIFS($I$8:$I$657,$A$8:$A$657,A335)=0,"",I335*SUMIFS('Facturas y gastos'!$D$10:$D$13,'Facturas y gastos'!$A$10:$A$13,A335)/SUMIFS($I$8:$I$657,$A$8:$A$657,A335)))</f>
        <v>307.45992271835536</v>
      </c>
      <c r="K335" s="8">
        <f>IF(J335="","",IF(SUMIFS('Facturas y gastos'!$D$10:$D$13,'Facturas y gastos'!$A$10:$A$13,A335)=0,"",J335*SUMIFS('Facturas y gastos'!$G$10:$G$13,'Facturas y gastos'!$A$10:$A$13,A335)/SUMIFS('Facturas y gastos'!$D$10:$D$13,'Facturas y gastos'!$A$10:$A$13,A335)))</f>
        <v>3.0745729514243672</v>
      </c>
      <c r="L335" s="8">
        <f>IF(J335="","",IF(SUMIFS('Facturas y gastos'!$D$10:$D$13,'Facturas y gastos'!$A$10:$A$13,A335)=0,"",J335*SUMIFS('Facturas y gastos'!$H$10:$H$13,'Facturas y gastos'!$A$10:$A$13,A335)/SUMIFS('Facturas y gastos'!$D$10:$D$13,'Facturas y gastos'!$A$10:$A$13,A335)))</f>
        <v>9.2237961359177678</v>
      </c>
      <c r="M335" s="8">
        <f>IF(J335="","",IF(SUMIFS('Facturas y gastos'!$D$10:$D$13,'Facturas y gastos'!$A$10:$A$13,A335)=0,"",J335*SUMIFS('Facturas y gastos'!$I$10:$I$13,'Facturas y gastos'!$A$10:$A$13,A335)/SUMIFS('Facturas y gastos'!$D$10:$D$13,'Facturas y gastos'!$A$10:$A$13,A335)))</f>
        <v>61.05249928677987</v>
      </c>
      <c r="N335" s="8">
        <f>IF(J335="","",IF(SUMIFS('Facturas y gastos'!$D$10:$D$13,'Facturas y gastos'!$A$10:$A$13,A335)=0,"",J335*SUMIFS('Facturas y gastos'!$J$10:$J$13,'Facturas y gastos'!$A$10:$A$13,A335)/SUMIFS('Facturas y gastos'!$D$10:$D$13,'Facturas y gastos'!$A$10:$A$13,A335)))</f>
        <v>0</v>
      </c>
      <c r="O335" s="8">
        <f t="shared" si="10"/>
        <v>374.66164518962864</v>
      </c>
      <c r="P335" s="8" t="str">
        <f>IF(OR(O335="",'Facturas y gastos'!$B$24="",'Facturas y gastos'!$B$45&lt;&gt;"OK",SUM($O$8:$O$657)=0),"",O335*'Facturas y gastos'!$B$43/SUM($O$8:$O$657))</f>
        <v/>
      </c>
      <c r="Q335" s="8" t="str">
        <f>IF(OR(O335="",'Facturas y gastos'!$B$5="",P335=""),"",O335*'Facturas y gastos'!$B$5+P335)</f>
        <v/>
      </c>
      <c r="R335" s="8" t="str">
        <f t="shared" si="11"/>
        <v/>
      </c>
    </row>
    <row r="336" spans="1:18">
      <c r="A336" s="25" t="s">
        <v>61</v>
      </c>
      <c r="B336" s="25">
        <v>91</v>
      </c>
      <c r="C336" s="25" t="s">
        <v>484</v>
      </c>
      <c r="D336" s="25" t="s">
        <v>263</v>
      </c>
      <c r="E336" s="25" t="s">
        <v>108</v>
      </c>
      <c r="F336" s="27">
        <v>20</v>
      </c>
      <c r="G336" s="27">
        <v>5</v>
      </c>
      <c r="H336" s="29">
        <v>18.510000000000002</v>
      </c>
      <c r="I336" s="29">
        <v>370.15</v>
      </c>
      <c r="J336" s="8">
        <f>IF(OR(A336="",I336=""),"",IF(SUMIFS($I$8:$I$657,$A$8:$A$657,A336)=0,"",I336*SUMIFS('Facturas y gastos'!$D$10:$D$13,'Facturas y gastos'!$A$10:$A$13,A336)/SUMIFS($I$8:$I$657,$A$8:$A$657,A336)))</f>
        <v>370.14990696090297</v>
      </c>
      <c r="K336" s="8">
        <f>IF(J336="","",IF(SUMIFS('Facturas y gastos'!$D$10:$D$13,'Facturas y gastos'!$A$10:$A$13,A336)=0,"",J336*SUMIFS('Facturas y gastos'!$G$10:$G$13,'Facturas y gastos'!$A$10:$A$13,A336)/SUMIFS('Facturas y gastos'!$D$10:$D$13,'Facturas y gastos'!$A$10:$A$13,A336)))</f>
        <v>3.7014674363160389</v>
      </c>
      <c r="L336" s="8">
        <f>IF(J336="","",IF(SUMIFS('Facturas y gastos'!$D$10:$D$13,'Facturas y gastos'!$A$10:$A$13,A336)=0,"",J336*SUMIFS('Facturas y gastos'!$H$10:$H$13,'Facturas y gastos'!$A$10:$A$13,A336)/SUMIFS('Facturas y gastos'!$D$10:$D$13,'Facturas y gastos'!$A$10:$A$13,A336)))</f>
        <v>11.10449534804515</v>
      </c>
      <c r="M336" s="8">
        <f>IF(J336="","",IF(SUMIFS('Facturas y gastos'!$D$10:$D$13,'Facturas y gastos'!$A$10:$A$13,A336)=0,"",J336*SUMIFS('Facturas y gastos'!$I$10:$I$13,'Facturas y gastos'!$A$10:$A$13,A336)/SUMIFS('Facturas y gastos'!$D$10:$D$13,'Facturas y gastos'!$A$10:$A$13,A336)))</f>
        <v>73.500886655179741</v>
      </c>
      <c r="N336" s="8">
        <f>IF(J336="","",IF(SUMIFS('Facturas y gastos'!$D$10:$D$13,'Facturas y gastos'!$A$10:$A$13,A336)=0,"",J336*SUMIFS('Facturas y gastos'!$J$10:$J$13,'Facturas y gastos'!$A$10:$A$13,A336)/SUMIFS('Facturas y gastos'!$D$10:$D$13,'Facturas y gastos'!$A$10:$A$13,A336)))</f>
        <v>0</v>
      </c>
      <c r="O336" s="8">
        <f t="shared" si="10"/>
        <v>451.05382152781181</v>
      </c>
      <c r="P336" s="8" t="str">
        <f>IF(OR(O336="",'Facturas y gastos'!$B$24="",'Facturas y gastos'!$B$45&lt;&gt;"OK",SUM($O$8:$O$657)=0),"",O336*'Facturas y gastos'!$B$43/SUM($O$8:$O$657))</f>
        <v/>
      </c>
      <c r="Q336" s="8" t="str">
        <f>IF(OR(O336="",'Facturas y gastos'!$B$5="",P336=""),"",O336*'Facturas y gastos'!$B$5+P336)</f>
        <v/>
      </c>
      <c r="R336" s="8" t="str">
        <f t="shared" si="11"/>
        <v/>
      </c>
    </row>
    <row r="337" spans="1:18">
      <c r="A337" s="25" t="s">
        <v>61</v>
      </c>
      <c r="B337" s="25">
        <v>92</v>
      </c>
      <c r="C337" s="25" t="s">
        <v>485</v>
      </c>
      <c r="D337" s="25" t="s">
        <v>263</v>
      </c>
      <c r="E337" s="25" t="s">
        <v>108</v>
      </c>
      <c r="F337" s="27">
        <v>12</v>
      </c>
      <c r="G337" s="27">
        <v>2</v>
      </c>
      <c r="H337" s="29">
        <v>9.6999999999999993</v>
      </c>
      <c r="I337" s="29">
        <v>116.42</v>
      </c>
      <c r="J337" s="8">
        <f>IF(OR(A337="",I337=""),"",IF(SUMIFS($I$8:$I$657,$A$8:$A$657,A337)=0,"",I337*SUMIFS('Facturas y gastos'!$D$10:$D$13,'Facturas y gastos'!$A$10:$A$13,A337)/SUMIFS($I$8:$I$657,$A$8:$A$657,A337)))</f>
        <v>116.41997073723714</v>
      </c>
      <c r="K337" s="8">
        <f>IF(J337="","",IF(SUMIFS('Facturas y gastos'!$D$10:$D$13,'Facturas y gastos'!$A$10:$A$13,A337)=0,"",J337*SUMIFS('Facturas y gastos'!$G$10:$G$13,'Facturas y gastos'!$A$10:$A$13,A337)/SUMIFS('Facturas y gastos'!$D$10:$D$13,'Facturas y gastos'!$A$10:$A$13,A337)))</f>
        <v>1.1641897580329954</v>
      </c>
      <c r="L337" s="8">
        <f>IF(J337="","",IF(SUMIFS('Facturas y gastos'!$D$10:$D$13,'Facturas y gastos'!$A$10:$A$13,A337)=0,"",J337*SUMIFS('Facturas y gastos'!$H$10:$H$13,'Facturas y gastos'!$A$10:$A$13,A337)/SUMIFS('Facturas y gastos'!$D$10:$D$13,'Facturas y gastos'!$A$10:$A$13,A337)))</f>
        <v>3.4925985368618568</v>
      </c>
      <c r="M337" s="8">
        <f>IF(J337="","",IF(SUMIFS('Facturas y gastos'!$D$10:$D$13,'Facturas y gastos'!$A$10:$A$13,A337)=0,"",J337*SUMIFS('Facturas y gastos'!$I$10:$I$13,'Facturas y gastos'!$A$10:$A$13,A337)/SUMIFS('Facturas y gastos'!$D$10:$D$13,'Facturas y gastos'!$A$10:$A$13,A337)))</f>
        <v>23.117582667556466</v>
      </c>
      <c r="N337" s="8">
        <f>IF(J337="","",IF(SUMIFS('Facturas y gastos'!$D$10:$D$13,'Facturas y gastos'!$A$10:$A$13,A337)=0,"",J337*SUMIFS('Facturas y gastos'!$J$10:$J$13,'Facturas y gastos'!$A$10:$A$13,A337)/SUMIFS('Facturas y gastos'!$D$10:$D$13,'Facturas y gastos'!$A$10:$A$13,A337)))</f>
        <v>0</v>
      </c>
      <c r="O337" s="8">
        <f t="shared" si="10"/>
        <v>141.86596218362249</v>
      </c>
      <c r="P337" s="8" t="str">
        <f>IF(OR(O337="",'Facturas y gastos'!$B$24="",'Facturas y gastos'!$B$45&lt;&gt;"OK",SUM($O$8:$O$657)=0),"",O337*'Facturas y gastos'!$B$43/SUM($O$8:$O$657))</f>
        <v/>
      </c>
      <c r="Q337" s="8" t="str">
        <f>IF(OR(O337="",'Facturas y gastos'!$B$5="",P337=""),"",O337*'Facturas y gastos'!$B$5+P337)</f>
        <v/>
      </c>
      <c r="R337" s="8" t="str">
        <f t="shared" si="11"/>
        <v/>
      </c>
    </row>
    <row r="338" spans="1:18">
      <c r="A338" s="25" t="s">
        <v>61</v>
      </c>
      <c r="B338" s="25">
        <v>93</v>
      </c>
      <c r="C338" s="25" t="s">
        <v>486</v>
      </c>
      <c r="D338" s="25" t="s">
        <v>263</v>
      </c>
      <c r="E338" s="25" t="s">
        <v>108</v>
      </c>
      <c r="F338" s="27">
        <v>30</v>
      </c>
      <c r="G338" s="27">
        <v>5</v>
      </c>
      <c r="H338" s="29">
        <v>8.66</v>
      </c>
      <c r="I338" s="29">
        <v>259.7</v>
      </c>
      <c r="J338" s="8">
        <f>IF(OR(A338="",I338=""),"",IF(SUMIFS($I$8:$I$657,$A$8:$A$657,A338)=0,"",I338*SUMIFS('Facturas y gastos'!$D$10:$D$13,'Facturas y gastos'!$A$10:$A$13,A338)/SUMIFS($I$8:$I$657,$A$8:$A$657,A338)))</f>
        <v>259.69993472307584</v>
      </c>
      <c r="K338" s="8">
        <f>IF(J338="","",IF(SUMIFS('Facturas y gastos'!$D$10:$D$13,'Facturas y gastos'!$A$10:$A$13,A338)=0,"",J338*SUMIFS('Facturas y gastos'!$G$10:$G$13,'Facturas y gastos'!$A$10:$A$13,A338)/SUMIFS('Facturas y gastos'!$D$10:$D$13,'Facturas y gastos'!$A$10:$A$13,A338)))</f>
        <v>2.5969771530765247</v>
      </c>
      <c r="L338" s="8">
        <f>IF(J338="","",IF(SUMIFS('Facturas y gastos'!$D$10:$D$13,'Facturas y gastos'!$A$10:$A$13,A338)=0,"",J338*SUMIFS('Facturas y gastos'!$H$10:$H$13,'Facturas y gastos'!$A$10:$A$13,A338)/SUMIFS('Facturas y gastos'!$D$10:$D$13,'Facturas y gastos'!$A$10:$A$13,A338)))</f>
        <v>7.7909967361537911</v>
      </c>
      <c r="M338" s="8">
        <f>IF(J338="","",IF(SUMIFS('Facturas y gastos'!$D$10:$D$13,'Facturas y gastos'!$A$10:$A$13,A338)=0,"",J338*SUMIFS('Facturas y gastos'!$I$10:$I$13,'Facturas y gastos'!$A$10:$A$13,A338)/SUMIFS('Facturas y gastos'!$D$10:$D$13,'Facturas y gastos'!$A$10:$A$13,A338)))</f>
        <v>51.56877013197402</v>
      </c>
      <c r="N338" s="8">
        <f>IF(J338="","",IF(SUMIFS('Facturas y gastos'!$D$10:$D$13,'Facturas y gastos'!$A$10:$A$13,A338)=0,"",J338*SUMIFS('Facturas y gastos'!$J$10:$J$13,'Facturas y gastos'!$A$10:$A$13,A338)/SUMIFS('Facturas y gastos'!$D$10:$D$13,'Facturas y gastos'!$A$10:$A$13,A338)))</f>
        <v>0</v>
      </c>
      <c r="O338" s="8">
        <f t="shared" si="10"/>
        <v>316.46272443812711</v>
      </c>
      <c r="P338" s="8" t="str">
        <f>IF(OR(O338="",'Facturas y gastos'!$B$24="",'Facturas y gastos'!$B$45&lt;&gt;"OK",SUM($O$8:$O$657)=0),"",O338*'Facturas y gastos'!$B$43/SUM($O$8:$O$657))</f>
        <v/>
      </c>
      <c r="Q338" s="8" t="str">
        <f>IF(OR(O338="",'Facturas y gastos'!$B$5="",P338=""),"",O338*'Facturas y gastos'!$B$5+P338)</f>
        <v/>
      </c>
      <c r="R338" s="8" t="str">
        <f t="shared" si="11"/>
        <v/>
      </c>
    </row>
    <row r="339" spans="1:18">
      <c r="A339" s="25" t="s">
        <v>61</v>
      </c>
      <c r="B339" s="25">
        <v>94</v>
      </c>
      <c r="C339" s="25" t="s">
        <v>487</v>
      </c>
      <c r="D339" s="25" t="s">
        <v>263</v>
      </c>
      <c r="E339" s="25" t="s">
        <v>108</v>
      </c>
      <c r="F339" s="27">
        <v>30</v>
      </c>
      <c r="G339" s="27">
        <v>5</v>
      </c>
      <c r="H339" s="29">
        <v>11.04</v>
      </c>
      <c r="I339" s="29">
        <v>331.34</v>
      </c>
      <c r="J339" s="8">
        <f>IF(OR(A339="",I339=""),"",IF(SUMIFS($I$8:$I$657,$A$8:$A$657,A339)=0,"",I339*SUMIFS('Facturas y gastos'!$D$10:$D$13,'Facturas y gastos'!$A$10:$A$13,A339)/SUMIFS($I$8:$I$657,$A$8:$A$657,A339)))</f>
        <v>331.33991671599512</v>
      </c>
      <c r="K339" s="8">
        <f>IF(J339="","",IF(SUMIFS('Facturas y gastos'!$D$10:$D$13,'Facturas y gastos'!$A$10:$A$13,A339)=0,"",J339*SUMIFS('Facturas y gastos'!$G$10:$G$13,'Facturas y gastos'!$A$10:$A$13,A339)/SUMIFS('Facturas y gastos'!$D$10:$D$13,'Facturas y gastos'!$A$10:$A$13,A339)))</f>
        <v>3.3133708505982886</v>
      </c>
      <c r="L339" s="8">
        <f>IF(J339="","",IF(SUMIFS('Facturas y gastos'!$D$10:$D$13,'Facturas y gastos'!$A$10:$A$13,A339)=0,"",J339*SUMIFS('Facturas y gastos'!$H$10:$H$13,'Facturas y gastos'!$A$10:$A$13,A339)/SUMIFS('Facturas y gastos'!$D$10:$D$13,'Facturas y gastos'!$A$10:$A$13,A339)))</f>
        <v>9.9401958357997557</v>
      </c>
      <c r="M339" s="8">
        <f>IF(J339="","",IF(SUMIFS('Facturas y gastos'!$D$10:$D$13,'Facturas y gastos'!$A$10:$A$13,A339)=0,"",J339*SUMIFS('Facturas y gastos'!$I$10:$I$13,'Facturas y gastos'!$A$10:$A$13,A339)/SUMIFS('Facturas y gastos'!$D$10:$D$13,'Facturas y gastos'!$A$10:$A$13,A339)))</f>
        <v>65.794363864182785</v>
      </c>
      <c r="N339" s="8">
        <f>IF(J339="","",IF(SUMIFS('Facturas y gastos'!$D$10:$D$13,'Facturas y gastos'!$A$10:$A$13,A339)=0,"",J339*SUMIFS('Facturas y gastos'!$J$10:$J$13,'Facturas y gastos'!$A$10:$A$13,A339)/SUMIFS('Facturas y gastos'!$D$10:$D$13,'Facturas y gastos'!$A$10:$A$13,A339)))</f>
        <v>0</v>
      </c>
      <c r="O339" s="8">
        <f t="shared" si="10"/>
        <v>403.76110556537941</v>
      </c>
      <c r="P339" s="8" t="str">
        <f>IF(OR(O339="",'Facturas y gastos'!$B$24="",'Facturas y gastos'!$B$45&lt;&gt;"OK",SUM($O$8:$O$657)=0),"",O339*'Facturas y gastos'!$B$43/SUM($O$8:$O$657))</f>
        <v/>
      </c>
      <c r="Q339" s="8" t="str">
        <f>IF(OR(O339="",'Facturas y gastos'!$B$5="",P339=""),"",O339*'Facturas y gastos'!$B$5+P339)</f>
        <v/>
      </c>
      <c r="R339" s="8" t="str">
        <f t="shared" si="11"/>
        <v/>
      </c>
    </row>
    <row r="340" spans="1:18">
      <c r="A340" s="25" t="s">
        <v>61</v>
      </c>
      <c r="B340" s="25">
        <v>95</v>
      </c>
      <c r="C340" s="25" t="s">
        <v>488</v>
      </c>
      <c r="D340" s="25" t="s">
        <v>263</v>
      </c>
      <c r="E340" s="25" t="s">
        <v>108</v>
      </c>
      <c r="F340" s="27">
        <v>20</v>
      </c>
      <c r="G340" s="27">
        <v>5</v>
      </c>
      <c r="H340" s="29">
        <v>21.64</v>
      </c>
      <c r="I340" s="29">
        <v>432.84</v>
      </c>
      <c r="J340" s="8">
        <f>IF(OR(A340="",I340=""),"",IF(SUMIFS($I$8:$I$657,$A$8:$A$657,A340)=0,"",I340*SUMIFS('Facturas y gastos'!$D$10:$D$13,'Facturas y gastos'!$A$10:$A$13,A340)/SUMIFS($I$8:$I$657,$A$8:$A$657,A340)))</f>
        <v>432.83989120345063</v>
      </c>
      <c r="K340" s="8">
        <f>IF(J340="","",IF(SUMIFS('Facturas y gastos'!$D$10:$D$13,'Facturas y gastos'!$A$10:$A$13,A340)=0,"",J340*SUMIFS('Facturas y gastos'!$G$10:$G$13,'Facturas y gastos'!$A$10:$A$13,A340)/SUMIFS('Facturas y gastos'!$D$10:$D$13,'Facturas y gastos'!$A$10:$A$13,A340)))</f>
        <v>4.3283619212077111</v>
      </c>
      <c r="L340" s="8">
        <f>IF(J340="","",IF(SUMIFS('Facturas y gastos'!$D$10:$D$13,'Facturas y gastos'!$A$10:$A$13,A340)=0,"",J340*SUMIFS('Facturas y gastos'!$H$10:$H$13,'Facturas y gastos'!$A$10:$A$13,A340)/SUMIFS('Facturas y gastos'!$D$10:$D$13,'Facturas y gastos'!$A$10:$A$13,A340)))</f>
        <v>12.985194560172532</v>
      </c>
      <c r="M340" s="8">
        <f>IF(J340="","",IF(SUMIFS('Facturas y gastos'!$D$10:$D$13,'Facturas y gastos'!$A$10:$A$13,A340)=0,"",J340*SUMIFS('Facturas y gastos'!$I$10:$I$13,'Facturas y gastos'!$A$10:$A$13,A340)/SUMIFS('Facturas y gastos'!$D$10:$D$13,'Facturas y gastos'!$A$10:$A$13,A340)))</f>
        <v>85.949274023579633</v>
      </c>
      <c r="N340" s="8">
        <f>IF(J340="","",IF(SUMIFS('Facturas y gastos'!$D$10:$D$13,'Facturas y gastos'!$A$10:$A$13,A340)=0,"",J340*SUMIFS('Facturas y gastos'!$J$10:$J$13,'Facturas y gastos'!$A$10:$A$13,A340)/SUMIFS('Facturas y gastos'!$D$10:$D$13,'Facturas y gastos'!$A$10:$A$13,A340)))</f>
        <v>0</v>
      </c>
      <c r="O340" s="8">
        <f t="shared" si="10"/>
        <v>527.44599786599508</v>
      </c>
      <c r="P340" s="8" t="str">
        <f>IF(OR(O340="",'Facturas y gastos'!$B$24="",'Facturas y gastos'!$B$45&lt;&gt;"OK",SUM($O$8:$O$657)=0),"",O340*'Facturas y gastos'!$B$43/SUM($O$8:$O$657))</f>
        <v/>
      </c>
      <c r="Q340" s="8" t="str">
        <f>IF(OR(O340="",'Facturas y gastos'!$B$5="",P340=""),"",O340*'Facturas y gastos'!$B$5+P340)</f>
        <v/>
      </c>
      <c r="R340" s="8" t="str">
        <f t="shared" si="11"/>
        <v/>
      </c>
    </row>
    <row r="341" spans="1:18">
      <c r="A341" s="25" t="s">
        <v>61</v>
      </c>
      <c r="B341" s="25">
        <v>96</v>
      </c>
      <c r="C341" s="25" t="s">
        <v>489</v>
      </c>
      <c r="D341" s="25" t="s">
        <v>263</v>
      </c>
      <c r="E341" s="25" t="s">
        <v>108</v>
      </c>
      <c r="F341" s="27">
        <v>30</v>
      </c>
      <c r="G341" s="27">
        <v>5</v>
      </c>
      <c r="H341" s="29">
        <v>8.2100000000000009</v>
      </c>
      <c r="I341" s="29">
        <v>246.27</v>
      </c>
      <c r="J341" s="8">
        <f>IF(OR(A341="",I341=""),"",IF(SUMIFS($I$8:$I$657,$A$8:$A$657,A341)=0,"",I341*SUMIFS('Facturas y gastos'!$D$10:$D$13,'Facturas y gastos'!$A$10:$A$13,A341)/SUMIFS($I$8:$I$657,$A$8:$A$657,A341)))</f>
        <v>246.26993809877504</v>
      </c>
      <c r="K341" s="8">
        <f>IF(J341="","",IF(SUMIFS('Facturas y gastos'!$D$10:$D$13,'Facturas y gastos'!$A$10:$A$13,A341)=0,"",J341*SUMIFS('Facturas y gastos'!$G$10:$G$13,'Facturas y gastos'!$A$10:$A$13,A341)/SUMIFS('Facturas y gastos'!$D$10:$D$13,'Facturas y gastos'!$A$10:$A$13,A341)))</f>
        <v>2.4626783345712577</v>
      </c>
      <c r="L341" s="8">
        <f>IF(J341="","",IF(SUMIFS('Facturas y gastos'!$D$10:$D$13,'Facturas y gastos'!$A$10:$A$13,A341)=0,"",J341*SUMIFS('Facturas y gastos'!$H$10:$H$13,'Facturas y gastos'!$A$10:$A$13,A341)/SUMIFS('Facturas y gastos'!$D$10:$D$13,'Facturas y gastos'!$A$10:$A$13,A341)))</f>
        <v>7.3880969049387515</v>
      </c>
      <c r="M341" s="8">
        <f>IF(J341="","",IF(SUMIFS('Facturas y gastos'!$D$10:$D$13,'Facturas y gastos'!$A$10:$A$13,A341)=0,"",J341*SUMIFS('Facturas y gastos'!$I$10:$I$13,'Facturas y gastos'!$A$10:$A$13,A341)/SUMIFS('Facturas y gastos'!$D$10:$D$13,'Facturas y gastos'!$A$10:$A$13,A341)))</f>
        <v>48.901967733543472</v>
      </c>
      <c r="N341" s="8">
        <f>IF(J341="","",IF(SUMIFS('Facturas y gastos'!$D$10:$D$13,'Facturas y gastos'!$A$10:$A$13,A341)=0,"",J341*SUMIFS('Facturas y gastos'!$J$10:$J$13,'Facturas y gastos'!$A$10:$A$13,A341)/SUMIFS('Facturas y gastos'!$D$10:$D$13,'Facturas y gastos'!$A$10:$A$13,A341)))</f>
        <v>0</v>
      </c>
      <c r="O341" s="8">
        <f t="shared" si="10"/>
        <v>300.09732440268601</v>
      </c>
      <c r="P341" s="8" t="str">
        <f>IF(OR(O341="",'Facturas y gastos'!$B$24="",'Facturas y gastos'!$B$45&lt;&gt;"OK",SUM($O$8:$O$657)=0),"",O341*'Facturas y gastos'!$B$43/SUM($O$8:$O$657))</f>
        <v/>
      </c>
      <c r="Q341" s="8" t="str">
        <f>IF(OR(O341="",'Facturas y gastos'!$B$5="",P341=""),"",O341*'Facturas y gastos'!$B$5+P341)</f>
        <v/>
      </c>
      <c r="R341" s="8" t="str">
        <f t="shared" si="11"/>
        <v/>
      </c>
    </row>
    <row r="342" spans="1:18">
      <c r="A342" s="25" t="s">
        <v>61</v>
      </c>
      <c r="B342" s="25">
        <v>97</v>
      </c>
      <c r="C342" s="25" t="s">
        <v>490</v>
      </c>
      <c r="D342" s="25" t="s">
        <v>263</v>
      </c>
      <c r="E342" s="25" t="s">
        <v>108</v>
      </c>
      <c r="F342" s="27">
        <v>60</v>
      </c>
      <c r="G342" s="27">
        <v>5</v>
      </c>
      <c r="H342" s="29">
        <v>2.31</v>
      </c>
      <c r="I342" s="29">
        <v>138.81</v>
      </c>
      <c r="J342" s="8">
        <f>IF(OR(A342="",I342=""),"",IF(SUMIFS($I$8:$I$657,$A$8:$A$657,A342)=0,"",I342*SUMIFS('Facturas y gastos'!$D$10:$D$13,'Facturas y gastos'!$A$10:$A$13,A342)/SUMIFS($I$8:$I$657,$A$8:$A$657,A342)))</f>
        <v>138.80996510939605</v>
      </c>
      <c r="K342" s="8">
        <f>IF(J342="","",IF(SUMIFS('Facturas y gastos'!$D$10:$D$13,'Facturas y gastos'!$A$10:$A$13,A342)=0,"",J342*SUMIFS('Facturas y gastos'!$G$10:$G$13,'Facturas y gastos'!$A$10:$A$13,A342)/SUMIFS('Facturas y gastos'!$D$10:$D$13,'Facturas y gastos'!$A$10:$A$13,A342)))</f>
        <v>1.3880877882886111</v>
      </c>
      <c r="L342" s="8">
        <f>IF(J342="","",IF(SUMIFS('Facturas y gastos'!$D$10:$D$13,'Facturas y gastos'!$A$10:$A$13,A342)=0,"",J342*SUMIFS('Facturas y gastos'!$H$10:$H$13,'Facturas y gastos'!$A$10:$A$13,A342)/SUMIFS('Facturas y gastos'!$D$10:$D$13,'Facturas y gastos'!$A$10:$A$13,A342)))</f>
        <v>4.1642982554698023</v>
      </c>
      <c r="M342" s="8">
        <f>IF(J342="","",IF(SUMIFS('Facturas y gastos'!$D$10:$D$13,'Facturas y gastos'!$A$10:$A$13,A342)=0,"",J342*SUMIFS('Facturas y gastos'!$I$10:$I$13,'Facturas y gastos'!$A$10:$A$13,A342)/SUMIFS('Facturas y gastos'!$D$10:$D$13,'Facturas y gastos'!$A$10:$A$13,A342)))</f>
        <v>27.563577135230314</v>
      </c>
      <c r="N342" s="8">
        <f>IF(J342="","",IF(SUMIFS('Facturas y gastos'!$D$10:$D$13,'Facturas y gastos'!$A$10:$A$13,A342)=0,"",J342*SUMIFS('Facturas y gastos'!$J$10:$J$13,'Facturas y gastos'!$A$10:$A$13,A342)/SUMIFS('Facturas y gastos'!$D$10:$D$13,'Facturas y gastos'!$A$10:$A$13,A342)))</f>
        <v>0</v>
      </c>
      <c r="O342" s="8">
        <f t="shared" si="10"/>
        <v>169.14975271180757</v>
      </c>
      <c r="P342" s="8" t="str">
        <f>IF(OR(O342="",'Facturas y gastos'!$B$24="",'Facturas y gastos'!$B$45&lt;&gt;"OK",SUM($O$8:$O$657)=0),"",O342*'Facturas y gastos'!$B$43/SUM($O$8:$O$657))</f>
        <v/>
      </c>
      <c r="Q342" s="8" t="str">
        <f>IF(OR(O342="",'Facturas y gastos'!$B$5="",P342=""),"",O342*'Facturas y gastos'!$B$5+P342)</f>
        <v/>
      </c>
      <c r="R342" s="8" t="str">
        <f t="shared" si="11"/>
        <v/>
      </c>
    </row>
    <row r="343" spans="1:18">
      <c r="A343" s="25" t="s">
        <v>61</v>
      </c>
      <c r="B343" s="25">
        <v>98</v>
      </c>
      <c r="C343" s="25" t="s">
        <v>491</v>
      </c>
      <c r="D343" s="25" t="s">
        <v>263</v>
      </c>
      <c r="E343" s="25" t="s">
        <v>108</v>
      </c>
      <c r="F343" s="27">
        <v>30</v>
      </c>
      <c r="G343" s="27">
        <v>5</v>
      </c>
      <c r="H343" s="29">
        <v>9.85</v>
      </c>
      <c r="I343" s="29">
        <v>295.52</v>
      </c>
      <c r="J343" s="8">
        <f>IF(OR(A343="",I343=""),"",IF(SUMIFS($I$8:$I$657,$A$8:$A$657,A343)=0,"",I343*SUMIFS('Facturas y gastos'!$D$10:$D$13,'Facturas y gastos'!$A$10:$A$13,A343)/SUMIFS($I$8:$I$657,$A$8:$A$657,A343)))</f>
        <v>295.51992571953548</v>
      </c>
      <c r="K343" s="8">
        <f>IF(J343="","",IF(SUMIFS('Facturas y gastos'!$D$10:$D$13,'Facturas y gastos'!$A$10:$A$13,A343)=0,"",J343*SUMIFS('Facturas y gastos'!$G$10:$G$13,'Facturas y gastos'!$A$10:$A$13,A343)/SUMIFS('Facturas y gastos'!$D$10:$D$13,'Facturas y gastos'!$A$10:$A$13,A343)))</f>
        <v>2.9551740018374066</v>
      </c>
      <c r="L343" s="8">
        <f>IF(J343="","",IF(SUMIFS('Facturas y gastos'!$D$10:$D$13,'Facturas y gastos'!$A$10:$A$13,A343)=0,"",J343*SUMIFS('Facturas y gastos'!$H$10:$H$13,'Facturas y gastos'!$A$10:$A$13,A343)/SUMIFS('Facturas y gastos'!$D$10:$D$13,'Facturas y gastos'!$A$10:$A$13,A343)))</f>
        <v>8.8655962859767747</v>
      </c>
      <c r="M343" s="8">
        <f>IF(J343="","",IF(SUMIFS('Facturas y gastos'!$D$10:$D$13,'Facturas y gastos'!$A$10:$A$13,A343)=0,"",J343*SUMIFS('Facturas y gastos'!$I$10:$I$13,'Facturas y gastos'!$A$10:$A$13,A343)/SUMIFS('Facturas y gastos'!$D$10:$D$13,'Facturas y gastos'!$A$10:$A$13,A343)))</f>
        <v>58.681566998078402</v>
      </c>
      <c r="N343" s="8">
        <f>IF(J343="","",IF(SUMIFS('Facturas y gastos'!$D$10:$D$13,'Facturas y gastos'!$A$10:$A$13,A343)=0,"",J343*SUMIFS('Facturas y gastos'!$J$10:$J$13,'Facturas y gastos'!$A$10:$A$13,A343)/SUMIFS('Facturas y gastos'!$D$10:$D$13,'Facturas y gastos'!$A$10:$A$13,A343)))</f>
        <v>0</v>
      </c>
      <c r="O343" s="8">
        <f t="shared" si="10"/>
        <v>360.11191500175323</v>
      </c>
      <c r="P343" s="8" t="str">
        <f>IF(OR(O343="",'Facturas y gastos'!$B$24="",'Facturas y gastos'!$B$45&lt;&gt;"OK",SUM($O$8:$O$657)=0),"",O343*'Facturas y gastos'!$B$43/SUM($O$8:$O$657))</f>
        <v/>
      </c>
      <c r="Q343" s="8" t="str">
        <f>IF(OR(O343="",'Facturas y gastos'!$B$5="",P343=""),"",O343*'Facturas y gastos'!$B$5+P343)</f>
        <v/>
      </c>
      <c r="R343" s="8" t="str">
        <f t="shared" si="11"/>
        <v/>
      </c>
    </row>
    <row r="344" spans="1:18">
      <c r="A344" s="25" t="s">
        <v>61</v>
      </c>
      <c r="B344" s="25">
        <v>99</v>
      </c>
      <c r="C344" s="25" t="s">
        <v>492</v>
      </c>
      <c r="D344" s="25" t="s">
        <v>263</v>
      </c>
      <c r="E344" s="25" t="s">
        <v>108</v>
      </c>
      <c r="F344" s="27">
        <v>60</v>
      </c>
      <c r="G344" s="27">
        <v>5</v>
      </c>
      <c r="H344" s="29">
        <v>3.43</v>
      </c>
      <c r="I344" s="29">
        <v>205.97</v>
      </c>
      <c r="J344" s="8">
        <f>IF(OR(A344="",I344=""),"",IF(SUMIFS($I$8:$I$657,$A$8:$A$657,A344)=0,"",I344*SUMIFS('Facturas y gastos'!$D$10:$D$13,'Facturas y gastos'!$A$10:$A$13,A344)/SUMIFS($I$8:$I$657,$A$8:$A$657,A344)))</f>
        <v>205.9699482283863</v>
      </c>
      <c r="K344" s="8">
        <f>IF(J344="","",IF(SUMIFS('Facturas y gastos'!$D$10:$D$13,'Facturas y gastos'!$A$10:$A$13,A344)=0,"",J344*SUMIFS('Facturas y gastos'!$G$10:$G$13,'Facturas y gastos'!$A$10:$A$13,A344)/SUMIFS('Facturas y gastos'!$D$10:$D$13,'Facturas y gastos'!$A$10:$A$13,A344)))</f>
        <v>2.059681879935201</v>
      </c>
      <c r="L344" s="8">
        <f>IF(J344="","",IF(SUMIFS('Facturas y gastos'!$D$10:$D$13,'Facturas y gastos'!$A$10:$A$13,A344)=0,"",J344*SUMIFS('Facturas y gastos'!$H$10:$H$13,'Facturas y gastos'!$A$10:$A$13,A344)/SUMIFS('Facturas y gastos'!$D$10:$D$13,'Facturas y gastos'!$A$10:$A$13,A344)))</f>
        <v>6.1790974114193151</v>
      </c>
      <c r="M344" s="8">
        <f>IF(J344="","",IF(SUMIFS('Facturas y gastos'!$D$10:$D$13,'Facturas y gastos'!$A$10:$A$13,A344)=0,"",J344*SUMIFS('Facturas y gastos'!$I$10:$I$13,'Facturas y gastos'!$A$10:$A$13,A344)/SUMIFS('Facturas y gastos'!$D$10:$D$13,'Facturas y gastos'!$A$10:$A$13,A344)))</f>
        <v>40.899574832817429</v>
      </c>
      <c r="N344" s="8">
        <f>IF(J344="","",IF(SUMIFS('Facturas y gastos'!$D$10:$D$13,'Facturas y gastos'!$A$10:$A$13,A344)=0,"",J344*SUMIFS('Facturas y gastos'!$J$10:$J$13,'Facturas y gastos'!$A$10:$A$13,A344)/SUMIFS('Facturas y gastos'!$D$10:$D$13,'Facturas y gastos'!$A$10:$A$13,A344)))</f>
        <v>0</v>
      </c>
      <c r="O344" s="8">
        <f t="shared" si="10"/>
        <v>250.98893859268784</v>
      </c>
      <c r="P344" s="8" t="str">
        <f>IF(OR(O344="",'Facturas y gastos'!$B$24="",'Facturas y gastos'!$B$45&lt;&gt;"OK",SUM($O$8:$O$657)=0),"",O344*'Facturas y gastos'!$B$43/SUM($O$8:$O$657))</f>
        <v/>
      </c>
      <c r="Q344" s="8" t="str">
        <f>IF(OR(O344="",'Facturas y gastos'!$B$5="",P344=""),"",O344*'Facturas y gastos'!$B$5+P344)</f>
        <v/>
      </c>
      <c r="R344" s="8" t="str">
        <f t="shared" si="11"/>
        <v/>
      </c>
    </row>
    <row r="345" spans="1:18">
      <c r="A345" s="25" t="s">
        <v>61</v>
      </c>
      <c r="B345" s="25">
        <v>100</v>
      </c>
      <c r="C345" s="25" t="s">
        <v>493</v>
      </c>
      <c r="D345" s="25" t="s">
        <v>263</v>
      </c>
      <c r="E345" s="25" t="s">
        <v>108</v>
      </c>
      <c r="F345" s="27">
        <v>48</v>
      </c>
      <c r="G345" s="27">
        <v>2</v>
      </c>
      <c r="H345" s="29">
        <v>6.72</v>
      </c>
      <c r="I345" s="29">
        <v>322.39</v>
      </c>
      <c r="J345" s="8">
        <f>IF(OR(A345="",I345=""),"",IF(SUMIFS($I$8:$I$657,$A$8:$A$657,A345)=0,"",I345*SUMIFS('Facturas y gastos'!$D$10:$D$13,'Facturas y gastos'!$A$10:$A$13,A345)/SUMIFS($I$8:$I$657,$A$8:$A$657,A345)))</f>
        <v>322.38991896562345</v>
      </c>
      <c r="K345" s="8">
        <f>IF(J345="","",IF(SUMIFS('Facturas y gastos'!$D$10:$D$13,'Facturas y gastos'!$A$10:$A$13,A345)=0,"",J345*SUMIFS('Facturas y gastos'!$G$10:$G$13,'Facturas y gastos'!$A$10:$A$13,A345)/SUMIFS('Facturas y gastos'!$D$10:$D$13,'Facturas y gastos'!$A$10:$A$13,A345)))</f>
        <v>3.2238716379681964</v>
      </c>
      <c r="L345" s="8">
        <f>IF(J345="","",IF(SUMIFS('Facturas y gastos'!$D$10:$D$13,'Facturas y gastos'!$A$10:$A$13,A345)=0,"",J345*SUMIFS('Facturas y gastos'!$H$10:$H$13,'Facturas y gastos'!$A$10:$A$13,A345)/SUMIFS('Facturas y gastos'!$D$10:$D$13,'Facturas y gastos'!$A$10:$A$13,A345)))</f>
        <v>9.6716959482811724</v>
      </c>
      <c r="M345" s="8">
        <f>IF(J345="","",IF(SUMIFS('Facturas y gastos'!$D$10:$D$13,'Facturas y gastos'!$A$10:$A$13,A345)=0,"",J345*SUMIFS('Facturas y gastos'!$I$10:$I$13,'Facturas y gastos'!$A$10:$A$13,A345)/SUMIFS('Facturas y gastos'!$D$10:$D$13,'Facturas y gastos'!$A$10:$A$13,A345)))</f>
        <v>64.017157500373898</v>
      </c>
      <c r="N345" s="8">
        <f>IF(J345="","",IF(SUMIFS('Facturas y gastos'!$D$10:$D$13,'Facturas y gastos'!$A$10:$A$13,A345)=0,"",J345*SUMIFS('Facturas y gastos'!$J$10:$J$13,'Facturas y gastos'!$A$10:$A$13,A345)/SUMIFS('Facturas y gastos'!$D$10:$D$13,'Facturas y gastos'!$A$10:$A$13,A345)))</f>
        <v>0</v>
      </c>
      <c r="O345" s="8">
        <f t="shared" si="10"/>
        <v>392.85490077631033</v>
      </c>
      <c r="P345" s="8" t="str">
        <f>IF(OR(O345="",'Facturas y gastos'!$B$24="",'Facturas y gastos'!$B$45&lt;&gt;"OK",SUM($O$8:$O$657)=0),"",O345*'Facturas y gastos'!$B$43/SUM($O$8:$O$657))</f>
        <v/>
      </c>
      <c r="Q345" s="8" t="str">
        <f>IF(OR(O345="",'Facturas y gastos'!$B$5="",P345=""),"",O345*'Facturas y gastos'!$B$5+P345)</f>
        <v/>
      </c>
      <c r="R345" s="8" t="str">
        <f t="shared" si="11"/>
        <v/>
      </c>
    </row>
    <row r="346" spans="1:18">
      <c r="A346" s="25" t="s">
        <v>61</v>
      </c>
      <c r="B346" s="25">
        <v>101</v>
      </c>
      <c r="C346" s="25" t="s">
        <v>494</v>
      </c>
      <c r="D346" s="25" t="s">
        <v>263</v>
      </c>
      <c r="E346" s="25" t="s">
        <v>108</v>
      </c>
      <c r="F346" s="27">
        <v>48</v>
      </c>
      <c r="G346" s="27">
        <v>2</v>
      </c>
      <c r="H346" s="29">
        <v>6.72</v>
      </c>
      <c r="I346" s="29">
        <v>322.39</v>
      </c>
      <c r="J346" s="8">
        <f>IF(OR(A346="",I346=""),"",IF(SUMIFS($I$8:$I$657,$A$8:$A$657,A346)=0,"",I346*SUMIFS('Facturas y gastos'!$D$10:$D$13,'Facturas y gastos'!$A$10:$A$13,A346)/SUMIFS($I$8:$I$657,$A$8:$A$657,A346)))</f>
        <v>322.38991896562345</v>
      </c>
      <c r="K346" s="8">
        <f>IF(J346="","",IF(SUMIFS('Facturas y gastos'!$D$10:$D$13,'Facturas y gastos'!$A$10:$A$13,A346)=0,"",J346*SUMIFS('Facturas y gastos'!$G$10:$G$13,'Facturas y gastos'!$A$10:$A$13,A346)/SUMIFS('Facturas y gastos'!$D$10:$D$13,'Facturas y gastos'!$A$10:$A$13,A346)))</f>
        <v>3.2238716379681964</v>
      </c>
      <c r="L346" s="8">
        <f>IF(J346="","",IF(SUMIFS('Facturas y gastos'!$D$10:$D$13,'Facturas y gastos'!$A$10:$A$13,A346)=0,"",J346*SUMIFS('Facturas y gastos'!$H$10:$H$13,'Facturas y gastos'!$A$10:$A$13,A346)/SUMIFS('Facturas y gastos'!$D$10:$D$13,'Facturas y gastos'!$A$10:$A$13,A346)))</f>
        <v>9.6716959482811724</v>
      </c>
      <c r="M346" s="8">
        <f>IF(J346="","",IF(SUMIFS('Facturas y gastos'!$D$10:$D$13,'Facturas y gastos'!$A$10:$A$13,A346)=0,"",J346*SUMIFS('Facturas y gastos'!$I$10:$I$13,'Facturas y gastos'!$A$10:$A$13,A346)/SUMIFS('Facturas y gastos'!$D$10:$D$13,'Facturas y gastos'!$A$10:$A$13,A346)))</f>
        <v>64.017157500373898</v>
      </c>
      <c r="N346" s="8">
        <f>IF(J346="","",IF(SUMIFS('Facturas y gastos'!$D$10:$D$13,'Facturas y gastos'!$A$10:$A$13,A346)=0,"",J346*SUMIFS('Facturas y gastos'!$J$10:$J$13,'Facturas y gastos'!$A$10:$A$13,A346)/SUMIFS('Facturas y gastos'!$D$10:$D$13,'Facturas y gastos'!$A$10:$A$13,A346)))</f>
        <v>0</v>
      </c>
      <c r="O346" s="8">
        <f t="shared" si="10"/>
        <v>392.85490077631033</v>
      </c>
      <c r="P346" s="8" t="str">
        <f>IF(OR(O346="",'Facturas y gastos'!$B$24="",'Facturas y gastos'!$B$45&lt;&gt;"OK",SUM($O$8:$O$657)=0),"",O346*'Facturas y gastos'!$B$43/SUM($O$8:$O$657))</f>
        <v/>
      </c>
      <c r="Q346" s="8" t="str">
        <f>IF(OR(O346="",'Facturas y gastos'!$B$5="",P346=""),"",O346*'Facturas y gastos'!$B$5+P346)</f>
        <v/>
      </c>
      <c r="R346" s="8" t="str">
        <f t="shared" si="11"/>
        <v/>
      </c>
    </row>
    <row r="347" spans="1:18">
      <c r="A347" s="25" t="s">
        <v>61</v>
      </c>
      <c r="B347" s="25">
        <v>102</v>
      </c>
      <c r="C347" s="25" t="s">
        <v>495</v>
      </c>
      <c r="D347" s="25" t="s">
        <v>263</v>
      </c>
      <c r="E347" s="25" t="s">
        <v>108</v>
      </c>
      <c r="F347" s="27">
        <v>20</v>
      </c>
      <c r="G347" s="27">
        <v>5</v>
      </c>
      <c r="H347" s="29">
        <v>6.72</v>
      </c>
      <c r="I347" s="29">
        <v>134.33000000000001</v>
      </c>
      <c r="J347" s="8">
        <f>IF(OR(A347="",I347=""),"",IF(SUMIFS($I$8:$I$657,$A$8:$A$657,A347)=0,"",I347*SUMIFS('Facturas y gastos'!$D$10:$D$13,'Facturas y gastos'!$A$10:$A$13,A347)/SUMIFS($I$8:$I$657,$A$8:$A$657,A347)))</f>
        <v>134.32996623546697</v>
      </c>
      <c r="K347" s="8">
        <f>IF(J347="","",IF(SUMIFS('Facturas y gastos'!$D$10:$D$13,'Facturas y gastos'!$A$10:$A$13,A347)=0,"",J347*SUMIFS('Facturas y gastos'!$G$10:$G$13,'Facturas y gastos'!$A$10:$A$13,A347)/SUMIFS('Facturas y gastos'!$D$10:$D$13,'Facturas y gastos'!$A$10:$A$13,A347)))</f>
        <v>1.3432881824134364</v>
      </c>
      <c r="L347" s="8">
        <f>IF(J347="","",IF(SUMIFS('Facturas y gastos'!$D$10:$D$13,'Facturas y gastos'!$A$10:$A$13,A347)=0,"",J347*SUMIFS('Facturas y gastos'!$H$10:$H$13,'Facturas y gastos'!$A$10:$A$13,A347)/SUMIFS('Facturas y gastos'!$D$10:$D$13,'Facturas y gastos'!$A$10:$A$13,A347)))</f>
        <v>4.0298983117733487</v>
      </c>
      <c r="M347" s="8">
        <f>IF(J347="","",IF(SUMIFS('Facturas y gastos'!$D$10:$D$13,'Facturas y gastos'!$A$10:$A$13,A347)=0,"",J347*SUMIFS('Facturas y gastos'!$I$10:$I$13,'Facturas y gastos'!$A$10:$A$13,A347)/SUMIFS('Facturas y gastos'!$D$10:$D$13,'Facturas y gastos'!$A$10:$A$13,A347)))</f>
        <v>26.673981100608657</v>
      </c>
      <c r="N347" s="8">
        <f>IF(J347="","",IF(SUMIFS('Facturas y gastos'!$D$10:$D$13,'Facturas y gastos'!$A$10:$A$13,A347)=0,"",J347*SUMIFS('Facturas y gastos'!$J$10:$J$13,'Facturas y gastos'!$A$10:$A$13,A347)/SUMIFS('Facturas y gastos'!$D$10:$D$13,'Facturas y gastos'!$A$10:$A$13,A347)))</f>
        <v>0</v>
      </c>
      <c r="O347" s="8">
        <f t="shared" si="10"/>
        <v>163.69055746543552</v>
      </c>
      <c r="P347" s="8" t="str">
        <f>IF(OR(O347="",'Facturas y gastos'!$B$24="",'Facturas y gastos'!$B$45&lt;&gt;"OK",SUM($O$8:$O$657)=0),"",O347*'Facturas y gastos'!$B$43/SUM($O$8:$O$657))</f>
        <v/>
      </c>
      <c r="Q347" s="8" t="str">
        <f>IF(OR(O347="",'Facturas y gastos'!$B$5="",P347=""),"",O347*'Facturas y gastos'!$B$5+P347)</f>
        <v/>
      </c>
      <c r="R347" s="8" t="str">
        <f t="shared" si="11"/>
        <v/>
      </c>
    </row>
    <row r="348" spans="1:18">
      <c r="A348" s="25" t="s">
        <v>61</v>
      </c>
      <c r="B348" s="25">
        <v>103</v>
      </c>
      <c r="C348" s="25" t="s">
        <v>496</v>
      </c>
      <c r="D348" s="25" t="s">
        <v>263</v>
      </c>
      <c r="E348" s="25" t="s">
        <v>108</v>
      </c>
      <c r="F348" s="27">
        <v>20</v>
      </c>
      <c r="G348" s="27">
        <v>5</v>
      </c>
      <c r="H348" s="29">
        <v>8.66</v>
      </c>
      <c r="I348" s="29">
        <v>173.13</v>
      </c>
      <c r="J348" s="8">
        <f>IF(OR(A348="",I348=""),"",IF(SUMIFS($I$8:$I$657,$A$8:$A$657,A348)=0,"",I348*SUMIFS('Facturas y gastos'!$D$10:$D$13,'Facturas y gastos'!$A$10:$A$13,A348)/SUMIFS($I$8:$I$657,$A$8:$A$657,A348)))</f>
        <v>173.12995648288839</v>
      </c>
      <c r="K348" s="8">
        <f>IF(J348="","",IF(SUMIFS('Facturas y gastos'!$D$10:$D$13,'Facturas y gastos'!$A$10:$A$13,A348)=0,"",J348*SUMIFS('Facturas y gastos'!$G$10:$G$13,'Facturas y gastos'!$A$10:$A$13,A348)/SUMIFS('Facturas y gastos'!$D$10:$D$13,'Facturas y gastos'!$A$10:$A$13,A348)))</f>
        <v>1.7312847690109303</v>
      </c>
      <c r="L348" s="8">
        <f>IF(J348="","",IF(SUMIFS('Facturas y gastos'!$D$10:$D$13,'Facturas y gastos'!$A$10:$A$13,A348)=0,"",J348*SUMIFS('Facturas y gastos'!$H$10:$H$13,'Facturas y gastos'!$A$10:$A$13,A348)/SUMIFS('Facturas y gastos'!$D$10:$D$13,'Facturas y gastos'!$A$10:$A$13,A348)))</f>
        <v>5.19389782414442</v>
      </c>
      <c r="M348" s="8">
        <f>IF(J348="","",IF(SUMIFS('Facturas y gastos'!$D$10:$D$13,'Facturas y gastos'!$A$10:$A$13,A348)=0,"",J348*SUMIFS('Facturas y gastos'!$I$10:$I$13,'Facturas y gastos'!$A$10:$A$13,A348)/SUMIFS('Facturas y gastos'!$D$10:$D$13,'Facturas y gastos'!$A$10:$A$13,A348)))</f>
        <v>34.378518186171206</v>
      </c>
      <c r="N348" s="8">
        <f>IF(J348="","",IF(SUMIFS('Facturas y gastos'!$D$10:$D$13,'Facturas y gastos'!$A$10:$A$13,A348)=0,"",J348*SUMIFS('Facturas y gastos'!$J$10:$J$13,'Facturas y gastos'!$A$10:$A$13,A348)/SUMIFS('Facturas y gastos'!$D$10:$D$13,'Facturas y gastos'!$A$10:$A$13,A348)))</f>
        <v>0</v>
      </c>
      <c r="O348" s="8">
        <f t="shared" si="10"/>
        <v>210.97108772419307</v>
      </c>
      <c r="P348" s="8" t="str">
        <f>IF(OR(O348="",'Facturas y gastos'!$B$24="",'Facturas y gastos'!$B$45&lt;&gt;"OK",SUM($O$8:$O$657)=0),"",O348*'Facturas y gastos'!$B$43/SUM($O$8:$O$657))</f>
        <v/>
      </c>
      <c r="Q348" s="8" t="str">
        <f>IF(OR(O348="",'Facturas y gastos'!$B$5="",P348=""),"",O348*'Facturas y gastos'!$B$5+P348)</f>
        <v/>
      </c>
      <c r="R348" s="8" t="str">
        <f t="shared" si="11"/>
        <v/>
      </c>
    </row>
    <row r="349" spans="1:18">
      <c r="A349" s="25" t="s">
        <v>61</v>
      </c>
      <c r="B349" s="25">
        <v>104</v>
      </c>
      <c r="C349" s="25" t="s">
        <v>497</v>
      </c>
      <c r="D349" s="25" t="s">
        <v>263</v>
      </c>
      <c r="E349" s="25" t="s">
        <v>108</v>
      </c>
      <c r="F349" s="27">
        <v>20</v>
      </c>
      <c r="G349" s="27">
        <v>5</v>
      </c>
      <c r="H349" s="29">
        <v>9.1</v>
      </c>
      <c r="I349" s="29">
        <v>182.09</v>
      </c>
      <c r="J349" s="8">
        <f>IF(OR(A349="",I349=""),"",IF(SUMIFS($I$8:$I$657,$A$8:$A$657,A349)=0,"",I349*SUMIFS('Facturas y gastos'!$D$10:$D$13,'Facturas y gastos'!$A$10:$A$13,A349)/SUMIFS($I$8:$I$657,$A$8:$A$657,A349)))</f>
        <v>182.08995423074654</v>
      </c>
      <c r="K349" s="8">
        <f>IF(J349="","",IF(SUMIFS('Facturas y gastos'!$D$10:$D$13,'Facturas y gastos'!$A$10:$A$13,A349)=0,"",J349*SUMIFS('Facturas y gastos'!$G$10:$G$13,'Facturas y gastos'!$A$10:$A$13,A349)/SUMIFS('Facturas y gastos'!$D$10:$D$13,'Facturas y gastos'!$A$10:$A$13,A349)))</f>
        <v>1.8208839807612796</v>
      </c>
      <c r="L349" s="8">
        <f>IF(J349="","",IF(SUMIFS('Facturas y gastos'!$D$10:$D$13,'Facturas y gastos'!$A$10:$A$13,A349)=0,"",J349*SUMIFS('Facturas y gastos'!$H$10:$H$13,'Facturas y gastos'!$A$10:$A$13,A349)/SUMIFS('Facturas y gastos'!$D$10:$D$13,'Facturas y gastos'!$A$10:$A$13,A349)))</f>
        <v>5.4626977115373272</v>
      </c>
      <c r="M349" s="8">
        <f>IF(J349="","",IF(SUMIFS('Facturas y gastos'!$D$10:$D$13,'Facturas y gastos'!$A$10:$A$13,A349)=0,"",J349*SUMIFS('Facturas y gastos'!$I$10:$I$13,'Facturas y gastos'!$A$10:$A$13,A349)/SUMIFS('Facturas y gastos'!$D$10:$D$13,'Facturas y gastos'!$A$10:$A$13,A349)))</f>
        <v>36.157710255414514</v>
      </c>
      <c r="N349" s="8">
        <f>IF(J349="","",IF(SUMIFS('Facturas y gastos'!$D$10:$D$13,'Facturas y gastos'!$A$10:$A$13,A349)=0,"",J349*SUMIFS('Facturas y gastos'!$J$10:$J$13,'Facturas y gastos'!$A$10:$A$13,A349)/SUMIFS('Facturas y gastos'!$D$10:$D$13,'Facturas y gastos'!$A$10:$A$13,A349)))</f>
        <v>0</v>
      </c>
      <c r="O349" s="8">
        <f t="shared" si="10"/>
        <v>221.88947821693711</v>
      </c>
      <c r="P349" s="8" t="str">
        <f>IF(OR(O349="",'Facturas y gastos'!$B$24="",'Facturas y gastos'!$B$45&lt;&gt;"OK",SUM($O$8:$O$657)=0),"",O349*'Facturas y gastos'!$B$43/SUM($O$8:$O$657))</f>
        <v/>
      </c>
      <c r="Q349" s="8" t="str">
        <f>IF(OR(O349="",'Facturas y gastos'!$B$5="",P349=""),"",O349*'Facturas y gastos'!$B$5+P349)</f>
        <v/>
      </c>
      <c r="R349" s="8" t="str">
        <f t="shared" si="11"/>
        <v/>
      </c>
    </row>
    <row r="350" spans="1:18">
      <c r="A350" s="25" t="s">
        <v>61</v>
      </c>
      <c r="B350" s="25">
        <v>105</v>
      </c>
      <c r="C350" s="25" t="s">
        <v>498</v>
      </c>
      <c r="D350" s="25" t="s">
        <v>263</v>
      </c>
      <c r="E350" s="25" t="s">
        <v>108</v>
      </c>
      <c r="F350" s="27">
        <v>20</v>
      </c>
      <c r="G350" s="27">
        <v>5</v>
      </c>
      <c r="H350" s="29">
        <v>7.16</v>
      </c>
      <c r="I350" s="29">
        <v>143.28</v>
      </c>
      <c r="J350" s="8">
        <f>IF(OR(A350="",I350=""),"",IF(SUMIFS($I$8:$I$657,$A$8:$A$657,A350)=0,"",I350*SUMIFS('Facturas y gastos'!$D$10:$D$13,'Facturas y gastos'!$A$10:$A$13,A350)/SUMIFS($I$8:$I$657,$A$8:$A$657,A350)))</f>
        <v>143.27996398583869</v>
      </c>
      <c r="K350" s="8">
        <f>IF(J350="","",IF(SUMIFS('Facturas y gastos'!$D$10:$D$13,'Facturas y gastos'!$A$10:$A$13,A350)=0,"",J350*SUMIFS('Facturas y gastos'!$G$10:$G$13,'Facturas y gastos'!$A$10:$A$13,A350)/SUMIFS('Facturas y gastos'!$D$10:$D$13,'Facturas y gastos'!$A$10:$A$13,A350)))</f>
        <v>1.4327873950435288</v>
      </c>
      <c r="L350" s="8">
        <f>IF(J350="","",IF(SUMIFS('Facturas y gastos'!$D$10:$D$13,'Facturas y gastos'!$A$10:$A$13,A350)=0,"",J350*SUMIFS('Facturas y gastos'!$H$10:$H$13,'Facturas y gastos'!$A$10:$A$13,A350)/SUMIFS('Facturas y gastos'!$D$10:$D$13,'Facturas y gastos'!$A$10:$A$13,A350)))</f>
        <v>4.2983981992919338</v>
      </c>
      <c r="M350" s="8">
        <f>IF(J350="","",IF(SUMIFS('Facturas y gastos'!$D$10:$D$13,'Facturas y gastos'!$A$10:$A$13,A350)=0,"",J350*SUMIFS('Facturas y gastos'!$I$10:$I$13,'Facturas y gastos'!$A$10:$A$13,A350)/SUMIFS('Facturas y gastos'!$D$10:$D$13,'Facturas y gastos'!$A$10:$A$13,A350)))</f>
        <v>28.451187464417551</v>
      </c>
      <c r="N350" s="8">
        <f>IF(J350="","",IF(SUMIFS('Facturas y gastos'!$D$10:$D$13,'Facturas y gastos'!$A$10:$A$13,A350)=0,"",J350*SUMIFS('Facturas y gastos'!$J$10:$J$13,'Facturas y gastos'!$A$10:$A$13,A350)/SUMIFS('Facturas y gastos'!$D$10:$D$13,'Facturas y gastos'!$A$10:$A$13,A350)))</f>
        <v>0</v>
      </c>
      <c r="O350" s="8">
        <f t="shared" si="10"/>
        <v>174.59676225450465</v>
      </c>
      <c r="P350" s="8" t="str">
        <f>IF(OR(O350="",'Facturas y gastos'!$B$24="",'Facturas y gastos'!$B$45&lt;&gt;"OK",SUM($O$8:$O$657)=0),"",O350*'Facturas y gastos'!$B$43/SUM($O$8:$O$657))</f>
        <v/>
      </c>
      <c r="Q350" s="8" t="str">
        <f>IF(OR(O350="",'Facturas y gastos'!$B$5="",P350=""),"",O350*'Facturas y gastos'!$B$5+P350)</f>
        <v/>
      </c>
      <c r="R350" s="8" t="str">
        <f t="shared" si="11"/>
        <v/>
      </c>
    </row>
    <row r="351" spans="1:18">
      <c r="A351" s="25" t="s">
        <v>61</v>
      </c>
      <c r="B351" s="25">
        <v>106</v>
      </c>
      <c r="C351" s="25" t="s">
        <v>499</v>
      </c>
      <c r="D351" s="25" t="s">
        <v>500</v>
      </c>
      <c r="E351" s="25" t="s">
        <v>108</v>
      </c>
      <c r="F351" s="27">
        <v>300</v>
      </c>
      <c r="G351" s="27">
        <v>3</v>
      </c>
      <c r="H351" s="29">
        <v>1.27</v>
      </c>
      <c r="I351" s="29">
        <v>380.6</v>
      </c>
      <c r="J351" s="8">
        <f>IF(OR(A351="",I351=""),"",IF(SUMIFS($I$8:$I$657,$A$8:$A$657,A351)=0,"",I351*SUMIFS('Facturas y gastos'!$D$10:$D$13,'Facturas y gastos'!$A$10:$A$13,A351)/SUMIFS($I$8:$I$657,$A$8:$A$657,A351)))</f>
        <v>380.59990433424207</v>
      </c>
      <c r="K351" s="8">
        <f>IF(J351="","",IF(SUMIFS('Facturas y gastos'!$D$10:$D$13,'Facturas y gastos'!$A$10:$A$13,A351)=0,"",J351*SUMIFS('Facturas y gastos'!$G$10:$G$13,'Facturas y gastos'!$A$10:$A$13,A351)/SUMIFS('Facturas y gastos'!$D$10:$D$13,'Facturas y gastos'!$A$10:$A$13,A351)))</f>
        <v>3.8059665169846948</v>
      </c>
      <c r="L351" s="8">
        <f>IF(J351="","",IF(SUMIFS('Facturas y gastos'!$D$10:$D$13,'Facturas y gastos'!$A$10:$A$13,A351)=0,"",J351*SUMIFS('Facturas y gastos'!$H$10:$H$13,'Facturas y gastos'!$A$10:$A$13,A351)/SUMIFS('Facturas y gastos'!$D$10:$D$13,'Facturas y gastos'!$A$10:$A$13,A351)))</f>
        <v>11.417995216712102</v>
      </c>
      <c r="M351" s="8">
        <f>IF(J351="","",IF(SUMIFS('Facturas y gastos'!$D$10:$D$13,'Facturas y gastos'!$A$10:$A$13,A351)=0,"",J351*SUMIFS('Facturas y gastos'!$I$10:$I$13,'Facturas y gastos'!$A$10:$A$13,A351)/SUMIFS('Facturas y gastos'!$D$10:$D$13,'Facturas y gastos'!$A$10:$A$13,A351)))</f>
        <v>75.575948834152143</v>
      </c>
      <c r="N351" s="8">
        <f>IF(J351="","",IF(SUMIFS('Facturas y gastos'!$D$10:$D$13,'Facturas y gastos'!$A$10:$A$13,A351)=0,"",J351*SUMIFS('Facturas y gastos'!$J$10:$J$13,'Facturas y gastos'!$A$10:$A$13,A351)/SUMIFS('Facturas y gastos'!$D$10:$D$13,'Facturas y gastos'!$A$10:$A$13,A351)))</f>
        <v>0</v>
      </c>
      <c r="O351" s="8">
        <f t="shared" si="10"/>
        <v>463.78788186812159</v>
      </c>
      <c r="P351" s="8" t="str">
        <f>IF(OR(O351="",'Facturas y gastos'!$B$24="",'Facturas y gastos'!$B$45&lt;&gt;"OK",SUM($O$8:$O$657)=0),"",O351*'Facturas y gastos'!$B$43/SUM($O$8:$O$657))</f>
        <v/>
      </c>
      <c r="Q351" s="8" t="str">
        <f>IF(OR(O351="",'Facturas y gastos'!$B$5="",P351=""),"",O351*'Facturas y gastos'!$B$5+P351)</f>
        <v/>
      </c>
      <c r="R351" s="8" t="str">
        <f t="shared" si="11"/>
        <v/>
      </c>
    </row>
    <row r="352" spans="1:18">
      <c r="A352" s="25" t="s">
        <v>61</v>
      </c>
      <c r="B352" s="25">
        <v>107</v>
      </c>
      <c r="C352" s="25" t="s">
        <v>501</v>
      </c>
      <c r="D352" s="25" t="s">
        <v>500</v>
      </c>
      <c r="E352" s="25" t="s">
        <v>108</v>
      </c>
      <c r="F352" s="27">
        <v>360</v>
      </c>
      <c r="G352" s="27">
        <v>3</v>
      </c>
      <c r="H352" s="29">
        <v>1.04</v>
      </c>
      <c r="I352" s="29">
        <v>376.12</v>
      </c>
      <c r="J352" s="8">
        <f>IF(OR(A352="",I352=""),"",IF(SUMIFS($I$8:$I$657,$A$8:$A$657,A352)=0,"",I352*SUMIFS('Facturas y gastos'!$D$10:$D$13,'Facturas y gastos'!$A$10:$A$13,A352)/SUMIFS($I$8:$I$657,$A$8:$A$657,A352)))</f>
        <v>376.11990546031296</v>
      </c>
      <c r="K352" s="8">
        <f>IF(J352="","",IF(SUMIFS('Facturas y gastos'!$D$10:$D$13,'Facturas y gastos'!$A$10:$A$13,A352)=0,"",J352*SUMIFS('Facturas y gastos'!$G$10:$G$13,'Facturas y gastos'!$A$10:$A$13,A352)/SUMIFS('Facturas y gastos'!$D$10:$D$13,'Facturas y gastos'!$A$10:$A$13,A352)))</f>
        <v>3.7611669111095196</v>
      </c>
      <c r="L352" s="8">
        <f>IF(J352="","",IF(SUMIFS('Facturas y gastos'!$D$10:$D$13,'Facturas y gastos'!$A$10:$A$13,A352)=0,"",J352*SUMIFS('Facturas y gastos'!$H$10:$H$13,'Facturas y gastos'!$A$10:$A$13,A352)/SUMIFS('Facturas y gastos'!$D$10:$D$13,'Facturas y gastos'!$A$10:$A$13,A352)))</f>
        <v>11.283595273015647</v>
      </c>
      <c r="M352" s="8">
        <f>IF(J352="","",IF(SUMIFS('Facturas y gastos'!$D$10:$D$13,'Facturas y gastos'!$A$10:$A$13,A352)=0,"",J352*SUMIFS('Facturas y gastos'!$I$10:$I$13,'Facturas y gastos'!$A$10:$A$13,A352)/SUMIFS('Facturas y gastos'!$D$10:$D$13,'Facturas y gastos'!$A$10:$A$13,A352)))</f>
        <v>74.686352799530482</v>
      </c>
      <c r="N352" s="8">
        <f>IF(J352="","",IF(SUMIFS('Facturas y gastos'!$D$10:$D$13,'Facturas y gastos'!$A$10:$A$13,A352)=0,"",J352*SUMIFS('Facturas y gastos'!$J$10:$J$13,'Facturas y gastos'!$A$10:$A$13,A352)/SUMIFS('Facturas y gastos'!$D$10:$D$13,'Facturas y gastos'!$A$10:$A$13,A352)))</f>
        <v>0</v>
      </c>
      <c r="O352" s="8">
        <f t="shared" si="10"/>
        <v>458.32868662174957</v>
      </c>
      <c r="P352" s="8" t="str">
        <f>IF(OR(O352="",'Facturas y gastos'!$B$24="",'Facturas y gastos'!$B$45&lt;&gt;"OK",SUM($O$8:$O$657)=0),"",O352*'Facturas y gastos'!$B$43/SUM($O$8:$O$657))</f>
        <v/>
      </c>
      <c r="Q352" s="8" t="str">
        <f>IF(OR(O352="",'Facturas y gastos'!$B$5="",P352=""),"",O352*'Facturas y gastos'!$B$5+P352)</f>
        <v/>
      </c>
      <c r="R352" s="8" t="str">
        <f t="shared" si="11"/>
        <v/>
      </c>
    </row>
    <row r="353" spans="1:18">
      <c r="A353" s="25" t="s">
        <v>61</v>
      </c>
      <c r="B353" s="25">
        <v>108</v>
      </c>
      <c r="C353" s="25" t="s">
        <v>502</v>
      </c>
      <c r="D353" s="25" t="s">
        <v>500</v>
      </c>
      <c r="E353" s="25" t="s">
        <v>108</v>
      </c>
      <c r="F353" s="27">
        <v>240</v>
      </c>
      <c r="G353" s="27">
        <v>3</v>
      </c>
      <c r="H353" s="29">
        <v>2.2000000000000002</v>
      </c>
      <c r="I353" s="29">
        <v>528</v>
      </c>
      <c r="J353" s="8">
        <f>IF(OR(A353="",I353=""),"",IF(SUMIFS($I$8:$I$657,$A$8:$A$657,A353)=0,"",I353*SUMIFS('Facturas y gastos'!$D$10:$D$13,'Facturas y gastos'!$A$10:$A$13,A353)/SUMIFS($I$8:$I$657,$A$8:$A$657,A353)))</f>
        <v>527.99986728449767</v>
      </c>
      <c r="K353" s="8">
        <f>IF(J353="","",IF(SUMIFS('Facturas y gastos'!$D$10:$D$13,'Facturas y gastos'!$A$10:$A$13,A353)=0,"",J353*SUMIFS('Facturas y gastos'!$G$10:$G$13,'Facturas y gastos'!$A$10:$A$13,A353)/SUMIFS('Facturas y gastos'!$D$10:$D$13,'Facturas y gastos'!$A$10:$A$13,A353)))</f>
        <v>5.2799535495741425</v>
      </c>
      <c r="L353" s="8">
        <f>IF(J353="","",IF(SUMIFS('Facturas y gastos'!$D$10:$D$13,'Facturas y gastos'!$A$10:$A$13,A353)=0,"",J353*SUMIFS('Facturas y gastos'!$H$10:$H$13,'Facturas y gastos'!$A$10:$A$13,A353)/SUMIFS('Facturas y gastos'!$D$10:$D$13,'Facturas y gastos'!$A$10:$A$13,A353)))</f>
        <v>15.839993364224881</v>
      </c>
      <c r="M353" s="8">
        <f>IF(J353="","",IF(SUMIFS('Facturas y gastos'!$D$10:$D$13,'Facturas y gastos'!$A$10:$A$13,A353)=0,"",J353*SUMIFS('Facturas y gastos'!$I$10:$I$13,'Facturas y gastos'!$A$10:$A$13,A353)/SUMIFS('Facturas y gastos'!$D$10:$D$13,'Facturas y gastos'!$A$10:$A$13,A353)))</f>
        <v>104.8452469375521</v>
      </c>
      <c r="N353" s="8">
        <f>IF(J353="","",IF(SUMIFS('Facturas y gastos'!$D$10:$D$13,'Facturas y gastos'!$A$10:$A$13,A353)=0,"",J353*SUMIFS('Facturas y gastos'!$J$10:$J$13,'Facturas y gastos'!$A$10:$A$13,A353)/SUMIFS('Facturas y gastos'!$D$10:$D$13,'Facturas y gastos'!$A$10:$A$13,A353)))</f>
        <v>0</v>
      </c>
      <c r="O353" s="8">
        <f t="shared" si="10"/>
        <v>643.40515403670054</v>
      </c>
      <c r="P353" s="8" t="str">
        <f>IF(OR(O353="",'Facturas y gastos'!$B$24="",'Facturas y gastos'!$B$45&lt;&gt;"OK",SUM($O$8:$O$657)=0),"",O353*'Facturas y gastos'!$B$43/SUM($O$8:$O$657))</f>
        <v/>
      </c>
      <c r="Q353" s="8" t="str">
        <f>IF(OR(O353="",'Facturas y gastos'!$B$5="",P353=""),"",O353*'Facturas y gastos'!$B$5+P353)</f>
        <v/>
      </c>
      <c r="R353" s="8" t="str">
        <f t="shared" si="11"/>
        <v/>
      </c>
    </row>
    <row r="354" spans="1:18">
      <c r="A354" s="25" t="s">
        <v>61</v>
      </c>
      <c r="B354" s="25">
        <v>109</v>
      </c>
      <c r="C354" s="25" t="s">
        <v>503</v>
      </c>
      <c r="D354" s="25" t="s">
        <v>500</v>
      </c>
      <c r="E354" s="25" t="s">
        <v>108</v>
      </c>
      <c r="F354" s="27">
        <v>240</v>
      </c>
      <c r="G354" s="27">
        <v>3</v>
      </c>
      <c r="H354" s="29">
        <v>1.94</v>
      </c>
      <c r="I354" s="29">
        <v>465.67</v>
      </c>
      <c r="J354" s="8">
        <f>IF(OR(A354="",I354=""),"",IF(SUMIFS($I$8:$I$657,$A$8:$A$657,A354)=0,"",I354*SUMIFS('Facturas y gastos'!$D$10:$D$13,'Facturas y gastos'!$A$10:$A$13,A354)/SUMIFS($I$8:$I$657,$A$8:$A$657,A354)))</f>
        <v>465.66988295146217</v>
      </c>
      <c r="K354" s="8">
        <f>IF(J354="","",IF(SUMIFS('Facturas y gastos'!$D$10:$D$13,'Facturas y gastos'!$A$10:$A$13,A354)=0,"",J354*SUMIFS('Facturas y gastos'!$G$10:$G$13,'Facturas y gastos'!$A$10:$A$13,A354)/SUMIFS('Facturas y gastos'!$D$10:$D$13,'Facturas y gastos'!$A$10:$A$13,A354)))</f>
        <v>4.6566590330117252</v>
      </c>
      <c r="L354" s="8">
        <f>IF(J354="","",IF(SUMIFS('Facturas y gastos'!$D$10:$D$13,'Facturas y gastos'!$A$10:$A$13,A354)=0,"",J354*SUMIFS('Facturas y gastos'!$H$10:$H$13,'Facturas y gastos'!$A$10:$A$13,A354)/SUMIFS('Facturas y gastos'!$D$10:$D$13,'Facturas y gastos'!$A$10:$A$13,A354)))</f>
        <v>13.970094147573109</v>
      </c>
      <c r="M354" s="8">
        <f>IF(J354="","",IF(SUMIFS('Facturas y gastos'!$D$10:$D$13,'Facturas y gastos'!$A$10:$A$13,A354)=0,"",J354*SUMIFS('Facturas y gastos'!$I$10:$I$13,'Facturas y gastos'!$A$10:$A$13,A354)/SUMIFS('Facturas y gastos'!$D$10:$D$13,'Facturas y gastos'!$A$10:$A$13,A354)))</f>
        <v>92.468344964791456</v>
      </c>
      <c r="N354" s="8">
        <f>IF(J354="","",IF(SUMIFS('Facturas y gastos'!$D$10:$D$13,'Facturas y gastos'!$A$10:$A$13,A354)=0,"",J354*SUMIFS('Facturas y gastos'!$J$10:$J$13,'Facturas y gastos'!$A$10:$A$13,A354)/SUMIFS('Facturas y gastos'!$D$10:$D$13,'Facturas y gastos'!$A$10:$A$13,A354)))</f>
        <v>0</v>
      </c>
      <c r="O354" s="8">
        <f t="shared" si="10"/>
        <v>567.45166303081498</v>
      </c>
      <c r="P354" s="8" t="str">
        <f>IF(OR(O354="",'Facturas y gastos'!$B$24="",'Facturas y gastos'!$B$45&lt;&gt;"OK",SUM($O$8:$O$657)=0),"",O354*'Facturas y gastos'!$B$43/SUM($O$8:$O$657))</f>
        <v/>
      </c>
      <c r="Q354" s="8" t="str">
        <f>IF(OR(O354="",'Facturas y gastos'!$B$5="",P354=""),"",O354*'Facturas y gastos'!$B$5+P354)</f>
        <v/>
      </c>
      <c r="R354" s="8" t="str">
        <f t="shared" si="11"/>
        <v/>
      </c>
    </row>
    <row r="355" spans="1:18">
      <c r="A355" s="25" t="s">
        <v>61</v>
      </c>
      <c r="B355" s="25">
        <v>110</v>
      </c>
      <c r="C355" s="25" t="s">
        <v>504</v>
      </c>
      <c r="D355" s="25" t="s">
        <v>500</v>
      </c>
      <c r="E355" s="25" t="s">
        <v>108</v>
      </c>
      <c r="F355" s="27">
        <v>240</v>
      </c>
      <c r="G355" s="27">
        <v>3</v>
      </c>
      <c r="H355" s="29">
        <v>2.2000000000000002</v>
      </c>
      <c r="I355" s="29">
        <v>528</v>
      </c>
      <c r="J355" s="8">
        <f>IF(OR(A355="",I355=""),"",IF(SUMIFS($I$8:$I$657,$A$8:$A$657,A355)=0,"",I355*SUMIFS('Facturas y gastos'!$D$10:$D$13,'Facturas y gastos'!$A$10:$A$13,A355)/SUMIFS($I$8:$I$657,$A$8:$A$657,A355)))</f>
        <v>527.99986728449767</v>
      </c>
      <c r="K355" s="8">
        <f>IF(J355="","",IF(SUMIFS('Facturas y gastos'!$D$10:$D$13,'Facturas y gastos'!$A$10:$A$13,A355)=0,"",J355*SUMIFS('Facturas y gastos'!$G$10:$G$13,'Facturas y gastos'!$A$10:$A$13,A355)/SUMIFS('Facturas y gastos'!$D$10:$D$13,'Facturas y gastos'!$A$10:$A$13,A355)))</f>
        <v>5.2799535495741425</v>
      </c>
      <c r="L355" s="8">
        <f>IF(J355="","",IF(SUMIFS('Facturas y gastos'!$D$10:$D$13,'Facturas y gastos'!$A$10:$A$13,A355)=0,"",J355*SUMIFS('Facturas y gastos'!$H$10:$H$13,'Facturas y gastos'!$A$10:$A$13,A355)/SUMIFS('Facturas y gastos'!$D$10:$D$13,'Facturas y gastos'!$A$10:$A$13,A355)))</f>
        <v>15.839993364224881</v>
      </c>
      <c r="M355" s="8">
        <f>IF(J355="","",IF(SUMIFS('Facturas y gastos'!$D$10:$D$13,'Facturas y gastos'!$A$10:$A$13,A355)=0,"",J355*SUMIFS('Facturas y gastos'!$I$10:$I$13,'Facturas y gastos'!$A$10:$A$13,A355)/SUMIFS('Facturas y gastos'!$D$10:$D$13,'Facturas y gastos'!$A$10:$A$13,A355)))</f>
        <v>104.8452469375521</v>
      </c>
      <c r="N355" s="8">
        <f>IF(J355="","",IF(SUMIFS('Facturas y gastos'!$D$10:$D$13,'Facturas y gastos'!$A$10:$A$13,A355)=0,"",J355*SUMIFS('Facturas y gastos'!$J$10:$J$13,'Facturas y gastos'!$A$10:$A$13,A355)/SUMIFS('Facturas y gastos'!$D$10:$D$13,'Facturas y gastos'!$A$10:$A$13,A355)))</f>
        <v>0</v>
      </c>
      <c r="O355" s="8">
        <f t="shared" si="10"/>
        <v>643.40515403670054</v>
      </c>
      <c r="P355" s="8" t="str">
        <f>IF(OR(O355="",'Facturas y gastos'!$B$24="",'Facturas y gastos'!$B$45&lt;&gt;"OK",SUM($O$8:$O$657)=0),"",O355*'Facturas y gastos'!$B$43/SUM($O$8:$O$657))</f>
        <v/>
      </c>
      <c r="Q355" s="8" t="str">
        <f>IF(OR(O355="",'Facturas y gastos'!$B$5="",P355=""),"",O355*'Facturas y gastos'!$B$5+P355)</f>
        <v/>
      </c>
      <c r="R355" s="8" t="str">
        <f t="shared" si="11"/>
        <v/>
      </c>
    </row>
    <row r="356" spans="1:18">
      <c r="A356" s="25" t="s">
        <v>61</v>
      </c>
      <c r="B356" s="25">
        <v>111</v>
      </c>
      <c r="C356" s="25" t="s">
        <v>505</v>
      </c>
      <c r="D356" s="25" t="s">
        <v>500</v>
      </c>
      <c r="E356" s="25" t="s">
        <v>108</v>
      </c>
      <c r="F356" s="27">
        <v>120</v>
      </c>
      <c r="G356" s="27">
        <v>2</v>
      </c>
      <c r="H356" s="29">
        <v>2.69</v>
      </c>
      <c r="I356" s="29">
        <v>322.39</v>
      </c>
      <c r="J356" s="8">
        <f>IF(OR(A356="",I356=""),"",IF(SUMIFS($I$8:$I$657,$A$8:$A$657,A356)=0,"",I356*SUMIFS('Facturas y gastos'!$D$10:$D$13,'Facturas y gastos'!$A$10:$A$13,A356)/SUMIFS($I$8:$I$657,$A$8:$A$657,A356)))</f>
        <v>322.38991896562345</v>
      </c>
      <c r="K356" s="8">
        <f>IF(J356="","",IF(SUMIFS('Facturas y gastos'!$D$10:$D$13,'Facturas y gastos'!$A$10:$A$13,A356)=0,"",J356*SUMIFS('Facturas y gastos'!$G$10:$G$13,'Facturas y gastos'!$A$10:$A$13,A356)/SUMIFS('Facturas y gastos'!$D$10:$D$13,'Facturas y gastos'!$A$10:$A$13,A356)))</f>
        <v>3.2238716379681964</v>
      </c>
      <c r="L356" s="8">
        <f>IF(J356="","",IF(SUMIFS('Facturas y gastos'!$D$10:$D$13,'Facturas y gastos'!$A$10:$A$13,A356)=0,"",J356*SUMIFS('Facturas y gastos'!$H$10:$H$13,'Facturas y gastos'!$A$10:$A$13,A356)/SUMIFS('Facturas y gastos'!$D$10:$D$13,'Facturas y gastos'!$A$10:$A$13,A356)))</f>
        <v>9.6716959482811724</v>
      </c>
      <c r="M356" s="8">
        <f>IF(J356="","",IF(SUMIFS('Facturas y gastos'!$D$10:$D$13,'Facturas y gastos'!$A$10:$A$13,A356)=0,"",J356*SUMIFS('Facturas y gastos'!$I$10:$I$13,'Facturas y gastos'!$A$10:$A$13,A356)/SUMIFS('Facturas y gastos'!$D$10:$D$13,'Facturas y gastos'!$A$10:$A$13,A356)))</f>
        <v>64.017157500373898</v>
      </c>
      <c r="N356" s="8">
        <f>IF(J356="","",IF(SUMIFS('Facturas y gastos'!$D$10:$D$13,'Facturas y gastos'!$A$10:$A$13,A356)=0,"",J356*SUMIFS('Facturas y gastos'!$J$10:$J$13,'Facturas y gastos'!$A$10:$A$13,A356)/SUMIFS('Facturas y gastos'!$D$10:$D$13,'Facturas y gastos'!$A$10:$A$13,A356)))</f>
        <v>0</v>
      </c>
      <c r="O356" s="8">
        <f t="shared" si="10"/>
        <v>392.85490077631033</v>
      </c>
      <c r="P356" s="8" t="str">
        <f>IF(OR(O356="",'Facturas y gastos'!$B$24="",'Facturas y gastos'!$B$45&lt;&gt;"OK",SUM($O$8:$O$657)=0),"",O356*'Facturas y gastos'!$B$43/SUM($O$8:$O$657))</f>
        <v/>
      </c>
      <c r="Q356" s="8" t="str">
        <f>IF(OR(O356="",'Facturas y gastos'!$B$5="",P356=""),"",O356*'Facturas y gastos'!$B$5+P356)</f>
        <v/>
      </c>
      <c r="R356" s="8" t="str">
        <f t="shared" si="11"/>
        <v/>
      </c>
    </row>
    <row r="357" spans="1:18">
      <c r="A357" s="25" t="s">
        <v>61</v>
      </c>
      <c r="B357" s="25">
        <v>112</v>
      </c>
      <c r="C357" s="25" t="s">
        <v>506</v>
      </c>
      <c r="D357" s="25" t="s">
        <v>500</v>
      </c>
      <c r="E357" s="25" t="s">
        <v>108</v>
      </c>
      <c r="F357" s="27">
        <v>160</v>
      </c>
      <c r="G357" s="27">
        <v>2</v>
      </c>
      <c r="H357" s="29">
        <v>2.09</v>
      </c>
      <c r="I357" s="29">
        <v>334.33</v>
      </c>
      <c r="J357" s="8">
        <f>IF(OR(A357="",I357=""),"",IF(SUMIFS($I$8:$I$657,$A$8:$A$657,A357)=0,"",I357*SUMIFS('Facturas y gastos'!$D$10:$D$13,'Facturas y gastos'!$A$10:$A$13,A357)/SUMIFS($I$8:$I$657,$A$8:$A$657,A357)))</f>
        <v>334.32991596444333</v>
      </c>
      <c r="K357" s="8">
        <f>IF(J357="","",IF(SUMIFS('Facturas y gastos'!$D$10:$D$13,'Facturas y gastos'!$A$10:$A$13,A357)=0,"",J357*SUMIFS('Facturas y gastos'!$G$10:$G$13,'Facturas y gastos'!$A$10:$A$13,A357)/SUMIFS('Facturas y gastos'!$D$10:$D$13,'Facturas y gastos'!$A$10:$A$13,A357)))</f>
        <v>3.3432705875551574</v>
      </c>
      <c r="L357" s="8">
        <f>IF(J357="","",IF(SUMIFS('Facturas y gastos'!$D$10:$D$13,'Facturas y gastos'!$A$10:$A$13,A357)=0,"",J357*SUMIFS('Facturas y gastos'!$H$10:$H$13,'Facturas y gastos'!$A$10:$A$13,A357)/SUMIFS('Facturas y gastos'!$D$10:$D$13,'Facturas y gastos'!$A$10:$A$13,A357)))</f>
        <v>10.029895798222167</v>
      </c>
      <c r="M357" s="8">
        <f>IF(J357="","",IF(SUMIFS('Facturas y gastos'!$D$10:$D$13,'Facturas y gastos'!$A$10:$A$13,A357)=0,"",J357*SUMIFS('Facturas y gastos'!$I$10:$I$13,'Facturas y gastos'!$A$10:$A$13,A357)/SUMIFS('Facturas y gastos'!$D$10:$D$13,'Facturas y gastos'!$A$10:$A$13,A357)))</f>
        <v>66.388089789075366</v>
      </c>
      <c r="N357" s="8">
        <f>IF(J357="","",IF(SUMIFS('Facturas y gastos'!$D$10:$D$13,'Facturas y gastos'!$A$10:$A$13,A357)=0,"",J357*SUMIFS('Facturas y gastos'!$J$10:$J$13,'Facturas y gastos'!$A$10:$A$13,A357)/SUMIFS('Facturas y gastos'!$D$10:$D$13,'Facturas y gastos'!$A$10:$A$13,A357)))</f>
        <v>0</v>
      </c>
      <c r="O357" s="8">
        <f t="shared" si="10"/>
        <v>407.40463096418574</v>
      </c>
      <c r="P357" s="8" t="str">
        <f>IF(OR(O357="",'Facturas y gastos'!$B$24="",'Facturas y gastos'!$B$45&lt;&gt;"OK",SUM($O$8:$O$657)=0),"",O357*'Facturas y gastos'!$B$43/SUM($O$8:$O$657))</f>
        <v/>
      </c>
      <c r="Q357" s="8" t="str">
        <f>IF(OR(O357="",'Facturas y gastos'!$B$5="",P357=""),"",O357*'Facturas y gastos'!$B$5+P357)</f>
        <v/>
      </c>
      <c r="R357" s="8" t="str">
        <f t="shared" si="11"/>
        <v/>
      </c>
    </row>
    <row r="358" spans="1:18">
      <c r="A358" s="25" t="s">
        <v>61</v>
      </c>
      <c r="B358" s="25">
        <v>113</v>
      </c>
      <c r="C358" s="25" t="s">
        <v>507</v>
      </c>
      <c r="D358" s="25" t="s">
        <v>500</v>
      </c>
      <c r="E358" s="25" t="s">
        <v>108</v>
      </c>
      <c r="F358" s="27">
        <v>320</v>
      </c>
      <c r="G358" s="27">
        <v>2</v>
      </c>
      <c r="H358" s="29">
        <v>1.19</v>
      </c>
      <c r="I358" s="29">
        <v>382.09</v>
      </c>
      <c r="J358" s="8">
        <f>IF(OR(A358="",I358=""),"",IF(SUMIFS($I$8:$I$657,$A$8:$A$657,A358)=0,"",I358*SUMIFS('Facturas y gastos'!$D$10:$D$13,'Facturas y gastos'!$A$10:$A$13,A358)/SUMIFS($I$8:$I$657,$A$8:$A$657,A358)))</f>
        <v>382.0899039597229</v>
      </c>
      <c r="K358" s="8">
        <f>IF(J358="","",IF(SUMIFS('Facturas y gastos'!$D$10:$D$13,'Facturas y gastos'!$A$10:$A$13,A358)=0,"",J358*SUMIFS('Facturas y gastos'!$G$10:$G$13,'Facturas y gastos'!$A$10:$A$13,A358)/SUMIFS('Facturas y gastos'!$D$10:$D$13,'Facturas y gastos'!$A$10:$A$13,A358)))</f>
        <v>3.8208663859030003</v>
      </c>
      <c r="L358" s="8">
        <f>IF(J358="","",IF(SUMIFS('Facturas y gastos'!$D$10:$D$13,'Facturas y gastos'!$A$10:$A$13,A358)=0,"",J358*SUMIFS('Facturas y gastos'!$H$10:$H$13,'Facturas y gastos'!$A$10:$A$13,A358)/SUMIFS('Facturas y gastos'!$D$10:$D$13,'Facturas y gastos'!$A$10:$A$13,A358)))</f>
        <v>11.462695197986145</v>
      </c>
      <c r="M358" s="8">
        <f>IF(J358="","",IF(SUMIFS('Facturas y gastos'!$D$10:$D$13,'Facturas y gastos'!$A$10:$A$13,A358)=0,"",J358*SUMIFS('Facturas y gastos'!$I$10:$I$13,'Facturas y gastos'!$A$10:$A$13,A358)/SUMIFS('Facturas y gastos'!$D$10:$D$13,'Facturas y gastos'!$A$10:$A$13,A358)))</f>
        <v>75.871818943881223</v>
      </c>
      <c r="N358" s="8">
        <f>IF(J358="","",IF(SUMIFS('Facturas y gastos'!$D$10:$D$13,'Facturas y gastos'!$A$10:$A$13,A358)=0,"",J358*SUMIFS('Facturas y gastos'!$J$10:$J$13,'Facturas y gastos'!$A$10:$A$13,A358)/SUMIFS('Facturas y gastos'!$D$10:$D$13,'Facturas y gastos'!$A$10:$A$13,A358)))</f>
        <v>0</v>
      </c>
      <c r="O358" s="8">
        <f t="shared" si="10"/>
        <v>465.60355171568727</v>
      </c>
      <c r="P358" s="8" t="str">
        <f>IF(OR(O358="",'Facturas y gastos'!$B$24="",'Facturas y gastos'!$B$45&lt;&gt;"OK",SUM($O$8:$O$657)=0),"",O358*'Facturas y gastos'!$B$43/SUM($O$8:$O$657))</f>
        <v/>
      </c>
      <c r="Q358" s="8" t="str">
        <f>IF(OR(O358="",'Facturas y gastos'!$B$5="",P358=""),"",O358*'Facturas y gastos'!$B$5+P358)</f>
        <v/>
      </c>
      <c r="R358" s="8" t="str">
        <f t="shared" si="11"/>
        <v/>
      </c>
    </row>
    <row r="359" spans="1:18">
      <c r="A359" s="25" t="s">
        <v>61</v>
      </c>
      <c r="B359" s="25">
        <v>114</v>
      </c>
      <c r="C359" s="25" t="s">
        <v>508</v>
      </c>
      <c r="D359" s="25" t="s">
        <v>500</v>
      </c>
      <c r="E359" s="25" t="s">
        <v>108</v>
      </c>
      <c r="F359" s="27">
        <v>80</v>
      </c>
      <c r="G359" s="27">
        <v>2</v>
      </c>
      <c r="H359" s="29">
        <v>2.69</v>
      </c>
      <c r="I359" s="29">
        <v>214.93</v>
      </c>
      <c r="J359" s="8">
        <f>IF(OR(A359="",I359=""),"",IF(SUMIFS($I$8:$I$657,$A$8:$A$657,A359)=0,"",I359*SUMIFS('Facturas y gastos'!$D$10:$D$13,'Facturas y gastos'!$A$10:$A$13,A359)/SUMIFS($I$8:$I$657,$A$8:$A$657,A359)))</f>
        <v>214.92994597624448</v>
      </c>
      <c r="K359" s="8">
        <f>IF(J359="","",IF(SUMIFS('Facturas y gastos'!$D$10:$D$13,'Facturas y gastos'!$A$10:$A$13,A359)=0,"",J359*SUMIFS('Facturas y gastos'!$G$10:$G$13,'Facturas y gastos'!$A$10:$A$13,A359)/SUMIFS('Facturas y gastos'!$D$10:$D$13,'Facturas y gastos'!$A$10:$A$13,A359)))</f>
        <v>2.14928109168555</v>
      </c>
      <c r="L359" s="8">
        <f>IF(J359="","",IF(SUMIFS('Facturas y gastos'!$D$10:$D$13,'Facturas y gastos'!$A$10:$A$13,A359)=0,"",J359*SUMIFS('Facturas y gastos'!$H$10:$H$13,'Facturas y gastos'!$A$10:$A$13,A359)/SUMIFS('Facturas y gastos'!$D$10:$D$13,'Facturas y gastos'!$A$10:$A$13,A359)))</f>
        <v>6.4478972988122232</v>
      </c>
      <c r="M359" s="8">
        <f>IF(J359="","",IF(SUMIFS('Facturas y gastos'!$D$10:$D$13,'Facturas y gastos'!$A$10:$A$13,A359)=0,"",J359*SUMIFS('Facturas y gastos'!$I$10:$I$13,'Facturas y gastos'!$A$10:$A$13,A359)/SUMIFS('Facturas y gastos'!$D$10:$D$13,'Facturas y gastos'!$A$10:$A$13,A359)))</f>
        <v>42.678766902060751</v>
      </c>
      <c r="N359" s="8">
        <f>IF(J359="","",IF(SUMIFS('Facturas y gastos'!$D$10:$D$13,'Facturas y gastos'!$A$10:$A$13,A359)=0,"",J359*SUMIFS('Facturas y gastos'!$J$10:$J$13,'Facturas y gastos'!$A$10:$A$13,A359)/SUMIFS('Facturas y gastos'!$D$10:$D$13,'Facturas y gastos'!$A$10:$A$13,A359)))</f>
        <v>0</v>
      </c>
      <c r="O359" s="8">
        <f t="shared" si="10"/>
        <v>261.90732908543191</v>
      </c>
      <c r="P359" s="8" t="str">
        <f>IF(OR(O359="",'Facturas y gastos'!$B$24="",'Facturas y gastos'!$B$45&lt;&gt;"OK",SUM($O$8:$O$657)=0),"",O359*'Facturas y gastos'!$B$43/SUM($O$8:$O$657))</f>
        <v/>
      </c>
      <c r="Q359" s="8" t="str">
        <f>IF(OR(O359="",'Facturas y gastos'!$B$5="",P359=""),"",O359*'Facturas y gastos'!$B$5+P359)</f>
        <v/>
      </c>
      <c r="R359" s="8" t="str">
        <f t="shared" si="11"/>
        <v/>
      </c>
    </row>
    <row r="360" spans="1:18">
      <c r="A360" s="25" t="s">
        <v>61</v>
      </c>
      <c r="B360" s="25">
        <v>115</v>
      </c>
      <c r="C360" s="25" t="s">
        <v>509</v>
      </c>
      <c r="D360" s="25" t="s">
        <v>500</v>
      </c>
      <c r="E360" s="25" t="s">
        <v>108</v>
      </c>
      <c r="F360" s="27">
        <v>120</v>
      </c>
      <c r="G360" s="27">
        <v>2</v>
      </c>
      <c r="H360" s="29">
        <v>2.09</v>
      </c>
      <c r="I360" s="29">
        <v>250.75</v>
      </c>
      <c r="J360" s="8">
        <f>IF(OR(A360="",I360=""),"",IF(SUMIFS($I$8:$I$657,$A$8:$A$657,A360)=0,"",I360*SUMIFS('Facturas y gastos'!$D$10:$D$13,'Facturas y gastos'!$A$10:$A$13,A360)/SUMIFS($I$8:$I$657,$A$8:$A$657,A360)))</f>
        <v>250.74993697270412</v>
      </c>
      <c r="K360" s="8">
        <f>IF(J360="","",IF(SUMIFS('Facturas y gastos'!$D$10:$D$13,'Facturas y gastos'!$A$10:$A$13,A360)=0,"",J360*SUMIFS('Facturas y gastos'!$G$10:$G$13,'Facturas y gastos'!$A$10:$A$13,A360)/SUMIFS('Facturas y gastos'!$D$10:$D$13,'Facturas y gastos'!$A$10:$A$13,A360)))</f>
        <v>2.507477940446432</v>
      </c>
      <c r="L360" s="8">
        <f>IF(J360="","",IF(SUMIFS('Facturas y gastos'!$D$10:$D$13,'Facturas y gastos'!$A$10:$A$13,A360)=0,"",J360*SUMIFS('Facturas y gastos'!$H$10:$H$13,'Facturas y gastos'!$A$10:$A$13,A360)/SUMIFS('Facturas y gastos'!$D$10:$D$13,'Facturas y gastos'!$A$10:$A$13,A360)))</f>
        <v>7.522496848635206</v>
      </c>
      <c r="M360" s="8">
        <f>IF(J360="","",IF(SUMIFS('Facturas y gastos'!$D$10:$D$13,'Facturas y gastos'!$A$10:$A$13,A360)=0,"",J360*SUMIFS('Facturas y gastos'!$I$10:$I$13,'Facturas y gastos'!$A$10:$A$13,A360)/SUMIFS('Facturas y gastos'!$D$10:$D$13,'Facturas y gastos'!$A$10:$A$13,A360)))</f>
        <v>49.791563768165133</v>
      </c>
      <c r="N360" s="8">
        <f>IF(J360="","",IF(SUMIFS('Facturas y gastos'!$D$10:$D$13,'Facturas y gastos'!$A$10:$A$13,A360)=0,"",J360*SUMIFS('Facturas y gastos'!$J$10:$J$13,'Facturas y gastos'!$A$10:$A$13,A360)/SUMIFS('Facturas y gastos'!$D$10:$D$13,'Facturas y gastos'!$A$10:$A$13,A360)))</f>
        <v>0</v>
      </c>
      <c r="O360" s="8">
        <f t="shared" si="10"/>
        <v>305.55651964905803</v>
      </c>
      <c r="P360" s="8" t="str">
        <f>IF(OR(O360="",'Facturas y gastos'!$B$24="",'Facturas y gastos'!$B$45&lt;&gt;"OK",SUM($O$8:$O$657)=0),"",O360*'Facturas y gastos'!$B$43/SUM($O$8:$O$657))</f>
        <v/>
      </c>
      <c r="Q360" s="8" t="str">
        <f>IF(OR(O360="",'Facturas y gastos'!$B$5="",P360=""),"",O360*'Facturas y gastos'!$B$5+P360)</f>
        <v/>
      </c>
      <c r="R360" s="8" t="str">
        <f t="shared" si="11"/>
        <v/>
      </c>
    </row>
    <row r="361" spans="1:18">
      <c r="A361" s="25" t="s">
        <v>61</v>
      </c>
      <c r="B361" s="25">
        <v>116</v>
      </c>
      <c r="C361" s="25" t="s">
        <v>510</v>
      </c>
      <c r="D361" s="25" t="s">
        <v>500</v>
      </c>
      <c r="E361" s="25" t="s">
        <v>108</v>
      </c>
      <c r="F361" s="27">
        <v>240</v>
      </c>
      <c r="G361" s="27">
        <v>2</v>
      </c>
      <c r="H361" s="29">
        <v>1.19</v>
      </c>
      <c r="I361" s="29">
        <v>286.57</v>
      </c>
      <c r="J361" s="8">
        <f>IF(OR(A361="",I361=""),"",IF(SUMIFS($I$8:$I$657,$A$8:$A$657,A361)=0,"",I361*SUMIFS('Facturas y gastos'!$D$10:$D$13,'Facturas y gastos'!$A$10:$A$13,A361)/SUMIFS($I$8:$I$657,$A$8:$A$657,A361)))</f>
        <v>286.56992796916381</v>
      </c>
      <c r="K361" s="8">
        <f>IF(J361="","",IF(SUMIFS('Facturas y gastos'!$D$10:$D$13,'Facturas y gastos'!$A$10:$A$13,A361)=0,"",J361*SUMIFS('Facturas y gastos'!$G$10:$G$13,'Facturas y gastos'!$A$10:$A$13,A361)/SUMIFS('Facturas y gastos'!$D$10:$D$13,'Facturas y gastos'!$A$10:$A$13,A361)))</f>
        <v>2.8656747892073144</v>
      </c>
      <c r="L361" s="8">
        <f>IF(J361="","",IF(SUMIFS('Facturas y gastos'!$D$10:$D$13,'Facturas y gastos'!$A$10:$A$13,A361)=0,"",J361*SUMIFS('Facturas y gastos'!$H$10:$H$13,'Facturas y gastos'!$A$10:$A$13,A361)/SUMIFS('Facturas y gastos'!$D$10:$D$13,'Facturas y gastos'!$A$10:$A$13,A361)))</f>
        <v>8.5970963984581896</v>
      </c>
      <c r="M361" s="8">
        <f>IF(J361="","",IF(SUMIFS('Facturas y gastos'!$D$10:$D$13,'Facturas y gastos'!$A$10:$A$13,A361)=0,"",J361*SUMIFS('Facturas y gastos'!$I$10:$I$13,'Facturas y gastos'!$A$10:$A$13,A361)/SUMIFS('Facturas y gastos'!$D$10:$D$13,'Facturas y gastos'!$A$10:$A$13,A361)))</f>
        <v>56.904360634269516</v>
      </c>
      <c r="N361" s="8">
        <f>IF(J361="","",IF(SUMIFS('Facturas y gastos'!$D$10:$D$13,'Facturas y gastos'!$A$10:$A$13,A361)=0,"",J361*SUMIFS('Facturas y gastos'!$J$10:$J$13,'Facturas y gastos'!$A$10:$A$13,A361)/SUMIFS('Facturas y gastos'!$D$10:$D$13,'Facturas y gastos'!$A$10:$A$13,A361)))</f>
        <v>0</v>
      </c>
      <c r="O361" s="8">
        <f t="shared" si="10"/>
        <v>349.20571021268415</v>
      </c>
      <c r="P361" s="8" t="str">
        <f>IF(OR(O361="",'Facturas y gastos'!$B$24="",'Facturas y gastos'!$B$45&lt;&gt;"OK",SUM($O$8:$O$657)=0),"",O361*'Facturas y gastos'!$B$43/SUM($O$8:$O$657))</f>
        <v/>
      </c>
      <c r="Q361" s="8" t="str">
        <f>IF(OR(O361="",'Facturas y gastos'!$B$5="",P361=""),"",O361*'Facturas y gastos'!$B$5+P361)</f>
        <v/>
      </c>
      <c r="R361" s="8" t="str">
        <f t="shared" si="11"/>
        <v/>
      </c>
    </row>
    <row r="362" spans="1:18">
      <c r="A362" s="25" t="s">
        <v>61</v>
      </c>
      <c r="B362" s="25">
        <v>117</v>
      </c>
      <c r="C362" s="25" t="s">
        <v>511</v>
      </c>
      <c r="D362" s="25" t="s">
        <v>500</v>
      </c>
      <c r="E362" s="25" t="s">
        <v>108</v>
      </c>
      <c r="F362" s="27">
        <v>300</v>
      </c>
      <c r="G362" s="27">
        <v>6</v>
      </c>
      <c r="H362" s="29">
        <v>2.09</v>
      </c>
      <c r="I362" s="29">
        <v>626.87</v>
      </c>
      <c r="J362" s="8">
        <f>IF(OR(A362="",I362=""),"",IF(SUMIFS($I$8:$I$657,$A$8:$A$657,A362)=0,"",I362*SUMIFS('Facturas y gastos'!$D$10:$D$13,'Facturas y gastos'!$A$10:$A$13,A362)/SUMIFS($I$8:$I$657,$A$8:$A$657,A362)))</f>
        <v>626.86984243301708</v>
      </c>
      <c r="K362" s="8">
        <f>IF(J362="","",IF(SUMIFS('Facturas y gastos'!$D$10:$D$13,'Facturas y gastos'!$A$10:$A$13,A362)=0,"",J362*SUMIFS('Facturas y gastos'!$G$10:$G$13,'Facturas y gastos'!$A$10:$A$13,A362)/SUMIFS('Facturas y gastos'!$D$10:$D$13,'Facturas y gastos'!$A$10:$A$13,A362)))</f>
        <v>6.2686448515559521</v>
      </c>
      <c r="L362" s="8">
        <f>IF(J362="","",IF(SUMIFS('Facturas y gastos'!$D$10:$D$13,'Facturas y gastos'!$A$10:$A$13,A362)=0,"",J362*SUMIFS('Facturas y gastos'!$H$10:$H$13,'Facturas y gastos'!$A$10:$A$13,A362)/SUMIFS('Facturas y gastos'!$D$10:$D$13,'Facturas y gastos'!$A$10:$A$13,A362)))</f>
        <v>18.806092121650853</v>
      </c>
      <c r="M362" s="8">
        <f>IF(J362="","",IF(SUMIFS('Facturas y gastos'!$D$10:$D$13,'Facturas y gastos'!$A$10:$A$13,A362)=0,"",J362*SUMIFS('Facturas y gastos'!$I$10:$I$13,'Facturas y gastos'!$A$10:$A$13,A362)/SUMIFS('Facturas y gastos'!$D$10:$D$13,'Facturas y gastos'!$A$10:$A$13,A362)))</f>
        <v>124.47791656769562</v>
      </c>
      <c r="N362" s="8">
        <f>IF(J362="","",IF(SUMIFS('Facturas y gastos'!$D$10:$D$13,'Facturas y gastos'!$A$10:$A$13,A362)=0,"",J362*SUMIFS('Facturas y gastos'!$J$10:$J$13,'Facturas y gastos'!$A$10:$A$13,A362)/SUMIFS('Facturas y gastos'!$D$10:$D$13,'Facturas y gastos'!$A$10:$A$13,A362)))</f>
        <v>0</v>
      </c>
      <c r="O362" s="8">
        <f t="shared" si="10"/>
        <v>763.88520627080766</v>
      </c>
      <c r="P362" s="8" t="str">
        <f>IF(OR(O362="",'Facturas y gastos'!$B$24="",'Facturas y gastos'!$B$45&lt;&gt;"OK",SUM($O$8:$O$657)=0),"",O362*'Facturas y gastos'!$B$43/SUM($O$8:$O$657))</f>
        <v/>
      </c>
      <c r="Q362" s="8" t="str">
        <f>IF(OR(O362="",'Facturas y gastos'!$B$5="",P362=""),"",O362*'Facturas y gastos'!$B$5+P362)</f>
        <v/>
      </c>
      <c r="R362" s="8" t="str">
        <f t="shared" si="11"/>
        <v/>
      </c>
    </row>
    <row r="363" spans="1:18">
      <c r="A363" s="25" t="s">
        <v>61</v>
      </c>
      <c r="B363" s="25">
        <v>118</v>
      </c>
      <c r="C363" s="25" t="s">
        <v>512</v>
      </c>
      <c r="D363" s="25" t="s">
        <v>263</v>
      </c>
      <c r="E363" s="25" t="s">
        <v>108</v>
      </c>
      <c r="F363" s="27">
        <v>200</v>
      </c>
      <c r="G363" s="27">
        <v>2</v>
      </c>
      <c r="H363" s="29">
        <v>2.39</v>
      </c>
      <c r="I363" s="29">
        <v>477.61</v>
      </c>
      <c r="J363" s="8">
        <f>IF(OR(A363="",I363=""),"",IF(SUMIFS($I$8:$I$657,$A$8:$A$657,A363)=0,"",I363*SUMIFS('Facturas y gastos'!$D$10:$D$13,'Facturas y gastos'!$A$10:$A$13,A363)/SUMIFS($I$8:$I$657,$A$8:$A$657,A363)))</f>
        <v>477.60987995028205</v>
      </c>
      <c r="K363" s="8">
        <f>IF(J363="","",IF(SUMIFS('Facturas y gastos'!$D$10:$D$13,'Facturas y gastos'!$A$10:$A$13,A363)=0,"",J363*SUMIFS('Facturas y gastos'!$G$10:$G$13,'Facturas y gastos'!$A$10:$A$13,A363)/SUMIFS('Facturas y gastos'!$D$10:$D$13,'Facturas y gastos'!$A$10:$A$13,A363)))</f>
        <v>4.7760579825986857</v>
      </c>
      <c r="L363" s="8">
        <f>IF(J363="","",IF(SUMIFS('Facturas y gastos'!$D$10:$D$13,'Facturas y gastos'!$A$10:$A$13,A363)=0,"",J363*SUMIFS('Facturas y gastos'!$H$10:$H$13,'Facturas y gastos'!$A$10:$A$13,A363)/SUMIFS('Facturas y gastos'!$D$10:$D$13,'Facturas y gastos'!$A$10:$A$13,A363)))</f>
        <v>14.328293997514104</v>
      </c>
      <c r="M363" s="8">
        <f>IF(J363="","",IF(SUMIFS('Facturas y gastos'!$D$10:$D$13,'Facturas y gastos'!$A$10:$A$13,A363)=0,"",J363*SUMIFS('Facturas y gastos'!$I$10:$I$13,'Facturas y gastos'!$A$10:$A$13,A363)/SUMIFS('Facturas y gastos'!$D$10:$D$13,'Facturas y gastos'!$A$10:$A$13,A363)))</f>
        <v>94.839277253492924</v>
      </c>
      <c r="N363" s="8">
        <f>IF(J363="","",IF(SUMIFS('Facturas y gastos'!$D$10:$D$13,'Facturas y gastos'!$A$10:$A$13,A363)=0,"",J363*SUMIFS('Facturas y gastos'!$J$10:$J$13,'Facturas y gastos'!$A$10:$A$13,A363)/SUMIFS('Facturas y gastos'!$D$10:$D$13,'Facturas y gastos'!$A$10:$A$13,A363)))</f>
        <v>0</v>
      </c>
      <c r="O363" s="8">
        <f t="shared" si="10"/>
        <v>582.0013932186904</v>
      </c>
      <c r="P363" s="8" t="str">
        <f>IF(OR(O363="",'Facturas y gastos'!$B$24="",'Facturas y gastos'!$B$45&lt;&gt;"OK",SUM($O$8:$O$657)=0),"",O363*'Facturas y gastos'!$B$43/SUM($O$8:$O$657))</f>
        <v/>
      </c>
      <c r="Q363" s="8" t="str">
        <f>IF(OR(O363="",'Facturas y gastos'!$B$5="",P363=""),"",O363*'Facturas y gastos'!$B$5+P363)</f>
        <v/>
      </c>
      <c r="R363" s="8" t="str">
        <f t="shared" si="11"/>
        <v/>
      </c>
    </row>
    <row r="364" spans="1:18">
      <c r="A364" s="25" t="s">
        <v>61</v>
      </c>
      <c r="B364" s="25">
        <v>119</v>
      </c>
      <c r="C364" s="25" t="s">
        <v>513</v>
      </c>
      <c r="D364" s="25" t="s">
        <v>263</v>
      </c>
      <c r="E364" s="25" t="s">
        <v>108</v>
      </c>
      <c r="F364" s="27">
        <v>200</v>
      </c>
      <c r="G364" s="27">
        <v>2</v>
      </c>
      <c r="H364" s="29">
        <v>1.72</v>
      </c>
      <c r="I364" s="29">
        <v>343.28</v>
      </c>
      <c r="J364" s="8">
        <f>IF(OR(A364="",I364=""),"",IF(SUMIFS($I$8:$I$657,$A$8:$A$657,A364)=0,"",I364*SUMIFS('Facturas y gastos'!$D$10:$D$13,'Facturas y gastos'!$A$10:$A$13,A364)/SUMIFS($I$8:$I$657,$A$8:$A$657,A364)))</f>
        <v>343.279913714815</v>
      </c>
      <c r="K364" s="8">
        <f>IF(J364="","",IF(SUMIFS('Facturas y gastos'!$D$10:$D$13,'Facturas y gastos'!$A$10:$A$13,A364)=0,"",J364*SUMIFS('Facturas y gastos'!$G$10:$G$13,'Facturas y gastos'!$A$10:$A$13,A364)/SUMIFS('Facturas y gastos'!$D$10:$D$13,'Facturas y gastos'!$A$10:$A$13,A364)))</f>
        <v>3.4327698001852491</v>
      </c>
      <c r="L364" s="8">
        <f>IF(J364="","",IF(SUMIFS('Facturas y gastos'!$D$10:$D$13,'Facturas y gastos'!$A$10:$A$13,A364)=0,"",J364*SUMIFS('Facturas y gastos'!$H$10:$H$13,'Facturas y gastos'!$A$10:$A$13,A364)/SUMIFS('Facturas y gastos'!$D$10:$D$13,'Facturas y gastos'!$A$10:$A$13,A364)))</f>
        <v>10.298395685740751</v>
      </c>
      <c r="M364" s="8">
        <f>IF(J364="","",IF(SUMIFS('Facturas y gastos'!$D$10:$D$13,'Facturas y gastos'!$A$10:$A$13,A364)=0,"",J364*SUMIFS('Facturas y gastos'!$I$10:$I$13,'Facturas y gastos'!$A$10:$A$13,A364)/SUMIFS('Facturas y gastos'!$D$10:$D$13,'Facturas y gastos'!$A$10:$A$13,A364)))</f>
        <v>68.165296152884238</v>
      </c>
      <c r="N364" s="8">
        <f>IF(J364="","",IF(SUMIFS('Facturas y gastos'!$D$10:$D$13,'Facturas y gastos'!$A$10:$A$13,A364)=0,"",J364*SUMIFS('Facturas y gastos'!$J$10:$J$13,'Facturas y gastos'!$A$10:$A$13,A364)/SUMIFS('Facturas y gastos'!$D$10:$D$13,'Facturas y gastos'!$A$10:$A$13,A364)))</f>
        <v>0</v>
      </c>
      <c r="O364" s="8">
        <f t="shared" si="10"/>
        <v>418.31083575325471</v>
      </c>
      <c r="P364" s="8" t="str">
        <f>IF(OR(O364="",'Facturas y gastos'!$B$24="",'Facturas y gastos'!$B$45&lt;&gt;"OK",SUM($O$8:$O$657)=0),"",O364*'Facturas y gastos'!$B$43/SUM($O$8:$O$657))</f>
        <v/>
      </c>
      <c r="Q364" s="8" t="str">
        <f>IF(OR(O364="",'Facturas y gastos'!$B$5="",P364=""),"",O364*'Facturas y gastos'!$B$5+P364)</f>
        <v/>
      </c>
      <c r="R364" s="8" t="str">
        <f t="shared" si="11"/>
        <v/>
      </c>
    </row>
    <row r="365" spans="1:18">
      <c r="A365" s="25" t="s">
        <v>61</v>
      </c>
      <c r="B365" s="25">
        <v>120</v>
      </c>
      <c r="C365" s="25" t="s">
        <v>514</v>
      </c>
      <c r="D365" s="25" t="s">
        <v>263</v>
      </c>
      <c r="E365" s="25" t="s">
        <v>108</v>
      </c>
      <c r="F365" s="27">
        <v>200</v>
      </c>
      <c r="G365" s="27">
        <v>2</v>
      </c>
      <c r="H365" s="29">
        <v>3.58</v>
      </c>
      <c r="I365" s="29">
        <v>716.42</v>
      </c>
      <c r="J365" s="8">
        <f>IF(OR(A365="",I365=""),"",IF(SUMIFS($I$8:$I$657,$A$8:$A$657,A365)=0,"",I365*SUMIFS('Facturas y gastos'!$D$10:$D$13,'Facturas y gastos'!$A$10:$A$13,A365)/SUMIFS($I$8:$I$657,$A$8:$A$657,A365)))</f>
        <v>716.41981992416618</v>
      </c>
      <c r="K365" s="8">
        <f>IF(J365="","",IF(SUMIFS('Facturas y gastos'!$D$10:$D$13,'Facturas y gastos'!$A$10:$A$13,A365)=0,"",J365*SUMIFS('Facturas y gastos'!$G$10:$G$13,'Facturas y gastos'!$A$10:$A$13,A365)/SUMIFS('Facturas y gastos'!$D$10:$D$13,'Facturas y gastos'!$A$10:$A$13,A365)))</f>
        <v>7.1641369734581568</v>
      </c>
      <c r="L365" s="8">
        <f>IF(J365="","",IF(SUMIFS('Facturas y gastos'!$D$10:$D$13,'Facturas y gastos'!$A$10:$A$13,A365)=0,"",J365*SUMIFS('Facturas y gastos'!$H$10:$H$13,'Facturas y gastos'!$A$10:$A$13,A365)/SUMIFS('Facturas y gastos'!$D$10:$D$13,'Facturas y gastos'!$A$10:$A$13,A365)))</f>
        <v>21.49259099620831</v>
      </c>
      <c r="M365" s="8">
        <f>IF(J365="","",IF(SUMIFS('Facturas y gastos'!$D$10:$D$13,'Facturas y gastos'!$A$10:$A$13,A365)=0,"",J365*SUMIFS('Facturas y gastos'!$I$10:$I$13,'Facturas y gastos'!$A$10:$A$13,A365)/SUMIFS('Facturas y gastos'!$D$10:$D$13,'Facturas y gastos'!$A$10:$A$13,A365)))</f>
        <v>142.25990873295657</v>
      </c>
      <c r="N365" s="8">
        <f>IF(J365="","",IF(SUMIFS('Facturas y gastos'!$D$10:$D$13,'Facturas y gastos'!$A$10:$A$13,A365)=0,"",J365*SUMIFS('Facturas y gastos'!$J$10:$J$13,'Facturas y gastos'!$A$10:$A$13,A365)/SUMIFS('Facturas y gastos'!$D$10:$D$13,'Facturas y gastos'!$A$10:$A$13,A365)))</f>
        <v>0</v>
      </c>
      <c r="O365" s="8">
        <f t="shared" si="10"/>
        <v>873.00818267987279</v>
      </c>
      <c r="P365" s="8" t="str">
        <f>IF(OR(O365="",'Facturas y gastos'!$B$24="",'Facturas y gastos'!$B$45&lt;&gt;"OK",SUM($O$8:$O$657)=0),"",O365*'Facturas y gastos'!$B$43/SUM($O$8:$O$657))</f>
        <v/>
      </c>
      <c r="Q365" s="8" t="str">
        <f>IF(OR(O365="",'Facturas y gastos'!$B$5="",P365=""),"",O365*'Facturas y gastos'!$B$5+P365)</f>
        <v/>
      </c>
      <c r="R365" s="8" t="str">
        <f t="shared" si="11"/>
        <v/>
      </c>
    </row>
    <row r="366" spans="1:18">
      <c r="A366" s="25" t="s">
        <v>61</v>
      </c>
      <c r="B366" s="25">
        <v>121</v>
      </c>
      <c r="C366" s="25" t="s">
        <v>515</v>
      </c>
      <c r="D366" s="25" t="s">
        <v>263</v>
      </c>
      <c r="E366" s="25" t="s">
        <v>108</v>
      </c>
      <c r="F366" s="27">
        <v>200</v>
      </c>
      <c r="G366" s="27">
        <v>2</v>
      </c>
      <c r="H366" s="29">
        <v>4.33</v>
      </c>
      <c r="I366" s="29">
        <v>865.67</v>
      </c>
      <c r="J366" s="8">
        <f>IF(OR(A366="",I366=""),"",IF(SUMIFS($I$8:$I$657,$A$8:$A$657,A366)=0,"",I366*SUMIFS('Facturas y gastos'!$D$10:$D$13,'Facturas y gastos'!$A$10:$A$13,A366)/SUMIFS($I$8:$I$657,$A$8:$A$657,A366)))</f>
        <v>865.66978240941478</v>
      </c>
      <c r="K366" s="8">
        <f>IF(J366="","",IF(SUMIFS('Facturas y gastos'!$D$10:$D$13,'Facturas y gastos'!$A$10:$A$13,A366)=0,"",J366*SUMIFS('Facturas y gastos'!$G$10:$G$13,'Facturas y gastos'!$A$10:$A$13,A366)/SUMIFS('Facturas y gastos'!$D$10:$D$13,'Facturas y gastos'!$A$10:$A$13,A366)))</f>
        <v>8.656623843295165</v>
      </c>
      <c r="L366" s="8">
        <f>IF(J366="","",IF(SUMIFS('Facturas y gastos'!$D$10:$D$13,'Facturas y gastos'!$A$10:$A$13,A366)=0,"",J366*SUMIFS('Facturas y gastos'!$H$10:$H$13,'Facturas y gastos'!$A$10:$A$13,A366)/SUMIFS('Facturas y gastos'!$D$10:$D$13,'Facturas y gastos'!$A$10:$A$13,A366)))</f>
        <v>25.970089120470742</v>
      </c>
      <c r="M366" s="8">
        <f>IF(J366="","",IF(SUMIFS('Facturas y gastos'!$D$10:$D$13,'Facturas y gastos'!$A$10:$A$13,A366)=0,"",J366*SUMIFS('Facturas y gastos'!$I$10:$I$13,'Facturas y gastos'!$A$10:$A$13,A366)/SUMIFS('Facturas y gastos'!$D$10:$D$13,'Facturas y gastos'!$A$10:$A$13,A366)))</f>
        <v>171.89656234172483</v>
      </c>
      <c r="N366" s="8">
        <f>IF(J366="","",IF(SUMIFS('Facturas y gastos'!$D$10:$D$13,'Facturas y gastos'!$A$10:$A$13,A366)=0,"",J366*SUMIFS('Facturas y gastos'!$J$10:$J$13,'Facturas y gastos'!$A$10:$A$13,A366)/SUMIFS('Facturas y gastos'!$D$10:$D$13,'Facturas y gastos'!$A$10:$A$13,A366)))</f>
        <v>0</v>
      </c>
      <c r="O366" s="8">
        <f t="shared" si="10"/>
        <v>1054.8798100283152</v>
      </c>
      <c r="P366" s="8" t="str">
        <f>IF(OR(O366="",'Facturas y gastos'!$B$24="",'Facturas y gastos'!$B$45&lt;&gt;"OK",SUM($O$8:$O$657)=0),"",O366*'Facturas y gastos'!$B$43/SUM($O$8:$O$657))</f>
        <v/>
      </c>
      <c r="Q366" s="8" t="str">
        <f>IF(OR(O366="",'Facturas y gastos'!$B$5="",P366=""),"",O366*'Facturas y gastos'!$B$5+P366)</f>
        <v/>
      </c>
      <c r="R366" s="8" t="str">
        <f t="shared" si="11"/>
        <v/>
      </c>
    </row>
    <row r="367" spans="1:18">
      <c r="A367" s="25" t="s">
        <v>61</v>
      </c>
      <c r="B367" s="25">
        <v>122</v>
      </c>
      <c r="C367" s="25" t="s">
        <v>516</v>
      </c>
      <c r="D367" s="25" t="s">
        <v>517</v>
      </c>
      <c r="E367" s="25" t="s">
        <v>108</v>
      </c>
      <c r="F367" s="27">
        <v>30</v>
      </c>
      <c r="G367" s="27">
        <v>5</v>
      </c>
      <c r="H367" s="29">
        <v>5</v>
      </c>
      <c r="I367" s="29">
        <v>150</v>
      </c>
      <c r="J367" s="8">
        <f>IF(OR(A367="",I367=""),"",IF(SUMIFS($I$8:$I$657,$A$8:$A$657,A367)=0,"",I367*SUMIFS('Facturas y gastos'!$D$10:$D$13,'Facturas y gastos'!$A$10:$A$13,A367)/SUMIFS($I$8:$I$657,$A$8:$A$657,A367)))</f>
        <v>149.99996229673226</v>
      </c>
      <c r="K367" s="8">
        <f>IF(J367="","",IF(SUMIFS('Facturas y gastos'!$D$10:$D$13,'Facturas y gastos'!$A$10:$A$13,A367)=0,"",J367*SUMIFS('Facturas y gastos'!$G$10:$G$13,'Facturas y gastos'!$A$10:$A$13,A367)/SUMIFS('Facturas y gastos'!$D$10:$D$13,'Facturas y gastos'!$A$10:$A$13,A367)))</f>
        <v>1.4999868038562902</v>
      </c>
      <c r="L367" s="8">
        <f>IF(J367="","",IF(SUMIFS('Facturas y gastos'!$D$10:$D$13,'Facturas y gastos'!$A$10:$A$13,A367)=0,"",J367*SUMIFS('Facturas y gastos'!$H$10:$H$13,'Facturas y gastos'!$A$10:$A$13,A367)/SUMIFS('Facturas y gastos'!$D$10:$D$13,'Facturas y gastos'!$A$10:$A$13,A367)))</f>
        <v>4.4999981148366128</v>
      </c>
      <c r="M367" s="8">
        <f>IF(J367="","",IF(SUMIFS('Facturas y gastos'!$D$10:$D$13,'Facturas y gastos'!$A$10:$A$13,A367)=0,"",J367*SUMIFS('Facturas y gastos'!$I$10:$I$13,'Facturas y gastos'!$A$10:$A$13,A367)/SUMIFS('Facturas y gastos'!$D$10:$D$13,'Facturas y gastos'!$A$10:$A$13,A367)))</f>
        <v>29.785581516350025</v>
      </c>
      <c r="N367" s="8">
        <f>IF(J367="","",IF(SUMIFS('Facturas y gastos'!$D$10:$D$13,'Facturas y gastos'!$A$10:$A$13,A367)=0,"",J367*SUMIFS('Facturas y gastos'!$J$10:$J$13,'Facturas y gastos'!$A$10:$A$13,A367)/SUMIFS('Facturas y gastos'!$D$10:$D$13,'Facturas y gastos'!$A$10:$A$13,A367)))</f>
        <v>0</v>
      </c>
      <c r="O367" s="8">
        <f t="shared" si="10"/>
        <v>182.7855551240626</v>
      </c>
      <c r="P367" s="8" t="str">
        <f>IF(OR(O367="",'Facturas y gastos'!$B$24="",'Facturas y gastos'!$B$45&lt;&gt;"OK",SUM($O$8:$O$657)=0),"",O367*'Facturas y gastos'!$B$43/SUM($O$8:$O$657))</f>
        <v/>
      </c>
      <c r="Q367" s="8" t="str">
        <f>IF(OR(O367="",'Facturas y gastos'!$B$5="",P367=""),"",O367*'Facturas y gastos'!$B$5+P367)</f>
        <v/>
      </c>
      <c r="R367" s="8" t="str">
        <f t="shared" si="11"/>
        <v/>
      </c>
    </row>
    <row r="368" spans="1:18">
      <c r="A368" s="25" t="s">
        <v>61</v>
      </c>
      <c r="B368" s="25">
        <v>123</v>
      </c>
      <c r="C368" s="25" t="s">
        <v>518</v>
      </c>
      <c r="D368" s="25" t="s">
        <v>517</v>
      </c>
      <c r="E368" s="25" t="s">
        <v>108</v>
      </c>
      <c r="F368" s="27">
        <v>30</v>
      </c>
      <c r="G368" s="27">
        <v>5</v>
      </c>
      <c r="H368" s="29">
        <v>6.27</v>
      </c>
      <c r="I368" s="29">
        <v>188.06</v>
      </c>
      <c r="J368" s="8">
        <f>IF(OR(A368="",I368=""),"",IF(SUMIFS($I$8:$I$657,$A$8:$A$657,A368)=0,"",I368*SUMIFS('Facturas y gastos'!$D$10:$D$13,'Facturas y gastos'!$A$10:$A$13,A368)/SUMIFS($I$8:$I$657,$A$8:$A$657,A368)))</f>
        <v>188.05995273015648</v>
      </c>
      <c r="K368" s="8">
        <f>IF(J368="","",IF(SUMIFS('Facturas y gastos'!$D$10:$D$13,'Facturas y gastos'!$A$10:$A$13,A368)=0,"",J368*SUMIFS('Facturas y gastos'!$G$10:$G$13,'Facturas y gastos'!$A$10:$A$13,A368)/SUMIFS('Facturas y gastos'!$D$10:$D$13,'Facturas y gastos'!$A$10:$A$13,A368)))</f>
        <v>1.8805834555547598</v>
      </c>
      <c r="L368" s="8">
        <f>IF(J368="","",IF(SUMIFS('Facturas y gastos'!$D$10:$D$13,'Facturas y gastos'!$A$10:$A$13,A368)=0,"",J368*SUMIFS('Facturas y gastos'!$H$10:$H$13,'Facturas y gastos'!$A$10:$A$13,A368)/SUMIFS('Facturas y gastos'!$D$10:$D$13,'Facturas y gastos'!$A$10:$A$13,A368)))</f>
        <v>5.6417976365078237</v>
      </c>
      <c r="M368" s="8">
        <f>IF(J368="","",IF(SUMIFS('Facturas y gastos'!$D$10:$D$13,'Facturas y gastos'!$A$10:$A$13,A368)=0,"",J368*SUMIFS('Facturas y gastos'!$I$10:$I$13,'Facturas y gastos'!$A$10:$A$13,A368)/SUMIFS('Facturas y gastos'!$D$10:$D$13,'Facturas y gastos'!$A$10:$A$13,A368)))</f>
        <v>37.343176399765241</v>
      </c>
      <c r="N368" s="8">
        <f>IF(J368="","",IF(SUMIFS('Facturas y gastos'!$D$10:$D$13,'Facturas y gastos'!$A$10:$A$13,A368)=0,"",J368*SUMIFS('Facturas y gastos'!$J$10:$J$13,'Facturas y gastos'!$A$10:$A$13,A368)/SUMIFS('Facturas y gastos'!$D$10:$D$13,'Facturas y gastos'!$A$10:$A$13,A368)))</f>
        <v>0</v>
      </c>
      <c r="O368" s="8">
        <f t="shared" si="10"/>
        <v>229.16434331087478</v>
      </c>
      <c r="P368" s="8" t="str">
        <f>IF(OR(O368="",'Facturas y gastos'!$B$24="",'Facturas y gastos'!$B$45&lt;&gt;"OK",SUM($O$8:$O$657)=0),"",O368*'Facturas y gastos'!$B$43/SUM($O$8:$O$657))</f>
        <v/>
      </c>
      <c r="Q368" s="8" t="str">
        <f>IF(OR(O368="",'Facturas y gastos'!$B$5="",P368=""),"",O368*'Facturas y gastos'!$B$5+P368)</f>
        <v/>
      </c>
      <c r="R368" s="8" t="str">
        <f t="shared" si="11"/>
        <v/>
      </c>
    </row>
    <row r="369" spans="1:18">
      <c r="A369" s="25" t="s">
        <v>61</v>
      </c>
      <c r="B369" s="25">
        <v>124</v>
      </c>
      <c r="C369" s="25" t="s">
        <v>519</v>
      </c>
      <c r="D369" s="25" t="s">
        <v>517</v>
      </c>
      <c r="E369" s="25" t="s">
        <v>108</v>
      </c>
      <c r="F369" s="27">
        <v>30</v>
      </c>
      <c r="G369" s="27">
        <v>5</v>
      </c>
      <c r="H369" s="29">
        <v>6.72</v>
      </c>
      <c r="I369" s="29">
        <v>201.49</v>
      </c>
      <c r="J369" s="8">
        <f>IF(OR(A369="",I369=""),"",IF(SUMIFS($I$8:$I$657,$A$8:$A$657,A369)=0,"",I369*SUMIFS('Facturas y gastos'!$D$10:$D$13,'Facturas y gastos'!$A$10:$A$13,A369)/SUMIFS($I$8:$I$657,$A$8:$A$657,A369)))</f>
        <v>201.48994935445725</v>
      </c>
      <c r="K369" s="8">
        <f>IF(J369="","",IF(SUMIFS('Facturas y gastos'!$D$10:$D$13,'Facturas y gastos'!$A$10:$A$13,A369)=0,"",J369*SUMIFS('Facturas y gastos'!$G$10:$G$13,'Facturas y gastos'!$A$10:$A$13,A369)/SUMIFS('Facturas y gastos'!$D$10:$D$13,'Facturas y gastos'!$A$10:$A$13,A369)))</f>
        <v>2.0148822740600267</v>
      </c>
      <c r="L369" s="8">
        <f>IF(J369="","",IF(SUMIFS('Facturas y gastos'!$D$10:$D$13,'Facturas y gastos'!$A$10:$A$13,A369)=0,"",J369*SUMIFS('Facturas y gastos'!$H$10:$H$13,'Facturas y gastos'!$A$10:$A$13,A369)/SUMIFS('Facturas y gastos'!$D$10:$D$13,'Facturas y gastos'!$A$10:$A$13,A369)))</f>
        <v>6.0446974677228624</v>
      </c>
      <c r="M369" s="8">
        <f>IF(J369="","",IF(SUMIFS('Facturas y gastos'!$D$10:$D$13,'Facturas y gastos'!$A$10:$A$13,A369)=0,"",J369*SUMIFS('Facturas y gastos'!$I$10:$I$13,'Facturas y gastos'!$A$10:$A$13,A369)/SUMIFS('Facturas y gastos'!$D$10:$D$13,'Facturas y gastos'!$A$10:$A$13,A369)))</f>
        <v>40.009978798195789</v>
      </c>
      <c r="N369" s="8">
        <f>IF(J369="","",IF(SUMIFS('Facturas y gastos'!$D$10:$D$13,'Facturas y gastos'!$A$10:$A$13,A369)=0,"",J369*SUMIFS('Facturas y gastos'!$J$10:$J$13,'Facturas y gastos'!$A$10:$A$13,A369)/SUMIFS('Facturas y gastos'!$D$10:$D$13,'Facturas y gastos'!$A$10:$A$13,A369)))</f>
        <v>0</v>
      </c>
      <c r="O369" s="8">
        <f t="shared" si="10"/>
        <v>245.52974334631588</v>
      </c>
      <c r="P369" s="8" t="str">
        <f>IF(OR(O369="",'Facturas y gastos'!$B$24="",'Facturas y gastos'!$B$45&lt;&gt;"OK",SUM($O$8:$O$657)=0),"",O369*'Facturas y gastos'!$B$43/SUM($O$8:$O$657))</f>
        <v/>
      </c>
      <c r="Q369" s="8" t="str">
        <f>IF(OR(O369="",'Facturas y gastos'!$B$5="",P369=""),"",O369*'Facturas y gastos'!$B$5+P369)</f>
        <v/>
      </c>
      <c r="R369" s="8" t="str">
        <f t="shared" si="11"/>
        <v/>
      </c>
    </row>
    <row r="370" spans="1:18">
      <c r="A370" s="25" t="s">
        <v>61</v>
      </c>
      <c r="B370" s="25">
        <v>125</v>
      </c>
      <c r="C370" s="25" t="s">
        <v>520</v>
      </c>
      <c r="D370" s="25" t="s">
        <v>517</v>
      </c>
      <c r="E370" s="25" t="s">
        <v>108</v>
      </c>
      <c r="F370" s="27">
        <v>30</v>
      </c>
      <c r="G370" s="27">
        <v>5</v>
      </c>
      <c r="H370" s="29">
        <v>6.42</v>
      </c>
      <c r="I370" s="29">
        <v>192.54</v>
      </c>
      <c r="J370" s="8">
        <f>IF(OR(A370="",I370=""),"",IF(SUMIFS($I$8:$I$657,$A$8:$A$657,A370)=0,"",I370*SUMIFS('Facturas y gastos'!$D$10:$D$13,'Facturas y gastos'!$A$10:$A$13,A370)/SUMIFS($I$8:$I$657,$A$8:$A$657,A370)))</f>
        <v>192.53995160408553</v>
      </c>
      <c r="K370" s="8">
        <f>IF(J370="","",IF(SUMIFS('Facturas y gastos'!$D$10:$D$13,'Facturas y gastos'!$A$10:$A$13,A370)=0,"",J370*SUMIFS('Facturas y gastos'!$G$10:$G$13,'Facturas y gastos'!$A$10:$A$13,A370)/SUMIFS('Facturas y gastos'!$D$10:$D$13,'Facturas y gastos'!$A$10:$A$13,A370)))</f>
        <v>1.9253830614299343</v>
      </c>
      <c r="L370" s="8">
        <f>IF(J370="","",IF(SUMIFS('Facturas y gastos'!$D$10:$D$13,'Facturas y gastos'!$A$10:$A$13,A370)=0,"",J370*SUMIFS('Facturas y gastos'!$H$10:$H$13,'Facturas y gastos'!$A$10:$A$13,A370)/SUMIFS('Facturas y gastos'!$D$10:$D$13,'Facturas y gastos'!$A$10:$A$13,A370)))</f>
        <v>5.7761975802042764</v>
      </c>
      <c r="M370" s="8">
        <f>IF(J370="","",IF(SUMIFS('Facturas y gastos'!$D$10:$D$13,'Facturas y gastos'!$A$10:$A$13,A370)=0,"",J370*SUMIFS('Facturas y gastos'!$I$10:$I$13,'Facturas y gastos'!$A$10:$A$13,A370)/SUMIFS('Facturas y gastos'!$D$10:$D$13,'Facturas y gastos'!$A$10:$A$13,A370)))</f>
        <v>38.232772434386895</v>
      </c>
      <c r="N370" s="8">
        <f>IF(J370="","",IF(SUMIFS('Facturas y gastos'!$D$10:$D$13,'Facturas y gastos'!$A$10:$A$13,A370)=0,"",J370*SUMIFS('Facturas y gastos'!$J$10:$J$13,'Facturas y gastos'!$A$10:$A$13,A370)/SUMIFS('Facturas y gastos'!$D$10:$D$13,'Facturas y gastos'!$A$10:$A$13,A370)))</f>
        <v>0</v>
      </c>
      <c r="O370" s="8">
        <f t="shared" si="10"/>
        <v>234.62353855724677</v>
      </c>
      <c r="P370" s="8" t="str">
        <f>IF(OR(O370="",'Facturas y gastos'!$B$24="",'Facturas y gastos'!$B$45&lt;&gt;"OK",SUM($O$8:$O$657)=0),"",O370*'Facturas y gastos'!$B$43/SUM($O$8:$O$657))</f>
        <v/>
      </c>
      <c r="Q370" s="8" t="str">
        <f>IF(OR(O370="",'Facturas y gastos'!$B$5="",P370=""),"",O370*'Facturas y gastos'!$B$5+P370)</f>
        <v/>
      </c>
      <c r="R370" s="8" t="str">
        <f t="shared" si="11"/>
        <v/>
      </c>
    </row>
    <row r="371" spans="1:18">
      <c r="A371" s="25" t="s">
        <v>61</v>
      </c>
      <c r="B371" s="25">
        <v>126</v>
      </c>
      <c r="C371" s="25" t="s">
        <v>521</v>
      </c>
      <c r="D371" s="25" t="s">
        <v>517</v>
      </c>
      <c r="E371" s="25" t="s">
        <v>108</v>
      </c>
      <c r="F371" s="27">
        <v>30</v>
      </c>
      <c r="G371" s="27">
        <v>5</v>
      </c>
      <c r="H371" s="29">
        <v>6.42</v>
      </c>
      <c r="I371" s="29">
        <v>192.54</v>
      </c>
      <c r="J371" s="8">
        <f>IF(OR(A371="",I371=""),"",IF(SUMIFS($I$8:$I$657,$A$8:$A$657,A371)=0,"",I371*SUMIFS('Facturas y gastos'!$D$10:$D$13,'Facturas y gastos'!$A$10:$A$13,A371)/SUMIFS($I$8:$I$657,$A$8:$A$657,A371)))</f>
        <v>192.53995160408553</v>
      </c>
      <c r="K371" s="8">
        <f>IF(J371="","",IF(SUMIFS('Facturas y gastos'!$D$10:$D$13,'Facturas y gastos'!$A$10:$A$13,A371)=0,"",J371*SUMIFS('Facturas y gastos'!$G$10:$G$13,'Facturas y gastos'!$A$10:$A$13,A371)/SUMIFS('Facturas y gastos'!$D$10:$D$13,'Facturas y gastos'!$A$10:$A$13,A371)))</f>
        <v>1.9253830614299343</v>
      </c>
      <c r="L371" s="8">
        <f>IF(J371="","",IF(SUMIFS('Facturas y gastos'!$D$10:$D$13,'Facturas y gastos'!$A$10:$A$13,A371)=0,"",J371*SUMIFS('Facturas y gastos'!$H$10:$H$13,'Facturas y gastos'!$A$10:$A$13,A371)/SUMIFS('Facturas y gastos'!$D$10:$D$13,'Facturas y gastos'!$A$10:$A$13,A371)))</f>
        <v>5.7761975802042764</v>
      </c>
      <c r="M371" s="8">
        <f>IF(J371="","",IF(SUMIFS('Facturas y gastos'!$D$10:$D$13,'Facturas y gastos'!$A$10:$A$13,A371)=0,"",J371*SUMIFS('Facturas y gastos'!$I$10:$I$13,'Facturas y gastos'!$A$10:$A$13,A371)/SUMIFS('Facturas y gastos'!$D$10:$D$13,'Facturas y gastos'!$A$10:$A$13,A371)))</f>
        <v>38.232772434386895</v>
      </c>
      <c r="N371" s="8">
        <f>IF(J371="","",IF(SUMIFS('Facturas y gastos'!$D$10:$D$13,'Facturas y gastos'!$A$10:$A$13,A371)=0,"",J371*SUMIFS('Facturas y gastos'!$J$10:$J$13,'Facturas y gastos'!$A$10:$A$13,A371)/SUMIFS('Facturas y gastos'!$D$10:$D$13,'Facturas y gastos'!$A$10:$A$13,A371)))</f>
        <v>0</v>
      </c>
      <c r="O371" s="8">
        <f t="shared" si="10"/>
        <v>234.62353855724677</v>
      </c>
      <c r="P371" s="8" t="str">
        <f>IF(OR(O371="",'Facturas y gastos'!$B$24="",'Facturas y gastos'!$B$45&lt;&gt;"OK",SUM($O$8:$O$657)=0),"",O371*'Facturas y gastos'!$B$43/SUM($O$8:$O$657))</f>
        <v/>
      </c>
      <c r="Q371" s="8" t="str">
        <f>IF(OR(O371="",'Facturas y gastos'!$B$5="",P371=""),"",O371*'Facturas y gastos'!$B$5+P371)</f>
        <v/>
      </c>
      <c r="R371" s="8" t="str">
        <f t="shared" si="11"/>
        <v/>
      </c>
    </row>
    <row r="372" spans="1:18">
      <c r="A372" s="25" t="s">
        <v>61</v>
      </c>
      <c r="B372" s="25">
        <v>127</v>
      </c>
      <c r="C372" s="25" t="s">
        <v>522</v>
      </c>
      <c r="D372" s="25" t="s">
        <v>517</v>
      </c>
      <c r="E372" s="25" t="s">
        <v>108</v>
      </c>
      <c r="F372" s="27">
        <v>30</v>
      </c>
      <c r="G372" s="27">
        <v>5</v>
      </c>
      <c r="H372" s="29">
        <v>6.42</v>
      </c>
      <c r="I372" s="29">
        <v>192.54</v>
      </c>
      <c r="J372" s="8">
        <f>IF(OR(A372="",I372=""),"",IF(SUMIFS($I$8:$I$657,$A$8:$A$657,A372)=0,"",I372*SUMIFS('Facturas y gastos'!$D$10:$D$13,'Facturas y gastos'!$A$10:$A$13,A372)/SUMIFS($I$8:$I$657,$A$8:$A$657,A372)))</f>
        <v>192.53995160408553</v>
      </c>
      <c r="K372" s="8">
        <f>IF(J372="","",IF(SUMIFS('Facturas y gastos'!$D$10:$D$13,'Facturas y gastos'!$A$10:$A$13,A372)=0,"",J372*SUMIFS('Facturas y gastos'!$G$10:$G$13,'Facturas y gastos'!$A$10:$A$13,A372)/SUMIFS('Facturas y gastos'!$D$10:$D$13,'Facturas y gastos'!$A$10:$A$13,A372)))</f>
        <v>1.9253830614299343</v>
      </c>
      <c r="L372" s="8">
        <f>IF(J372="","",IF(SUMIFS('Facturas y gastos'!$D$10:$D$13,'Facturas y gastos'!$A$10:$A$13,A372)=0,"",J372*SUMIFS('Facturas y gastos'!$H$10:$H$13,'Facturas y gastos'!$A$10:$A$13,A372)/SUMIFS('Facturas y gastos'!$D$10:$D$13,'Facturas y gastos'!$A$10:$A$13,A372)))</f>
        <v>5.7761975802042764</v>
      </c>
      <c r="M372" s="8">
        <f>IF(J372="","",IF(SUMIFS('Facturas y gastos'!$D$10:$D$13,'Facturas y gastos'!$A$10:$A$13,A372)=0,"",J372*SUMIFS('Facturas y gastos'!$I$10:$I$13,'Facturas y gastos'!$A$10:$A$13,A372)/SUMIFS('Facturas y gastos'!$D$10:$D$13,'Facturas y gastos'!$A$10:$A$13,A372)))</f>
        <v>38.232772434386895</v>
      </c>
      <c r="N372" s="8">
        <f>IF(J372="","",IF(SUMIFS('Facturas y gastos'!$D$10:$D$13,'Facturas y gastos'!$A$10:$A$13,A372)=0,"",J372*SUMIFS('Facturas y gastos'!$J$10:$J$13,'Facturas y gastos'!$A$10:$A$13,A372)/SUMIFS('Facturas y gastos'!$D$10:$D$13,'Facturas y gastos'!$A$10:$A$13,A372)))</f>
        <v>0</v>
      </c>
      <c r="O372" s="8">
        <f t="shared" si="10"/>
        <v>234.62353855724677</v>
      </c>
      <c r="P372" s="8" t="str">
        <f>IF(OR(O372="",'Facturas y gastos'!$B$24="",'Facturas y gastos'!$B$45&lt;&gt;"OK",SUM($O$8:$O$657)=0),"",O372*'Facturas y gastos'!$B$43/SUM($O$8:$O$657))</f>
        <v/>
      </c>
      <c r="Q372" s="8" t="str">
        <f>IF(OR(O372="",'Facturas y gastos'!$B$5="",P372=""),"",O372*'Facturas y gastos'!$B$5+P372)</f>
        <v/>
      </c>
      <c r="R372" s="8" t="str">
        <f t="shared" si="11"/>
        <v/>
      </c>
    </row>
    <row r="373" spans="1:18">
      <c r="A373" s="25" t="s">
        <v>61</v>
      </c>
      <c r="B373" s="25">
        <v>128</v>
      </c>
      <c r="C373" s="25" t="s">
        <v>523</v>
      </c>
      <c r="D373" s="25" t="s">
        <v>517</v>
      </c>
      <c r="E373" s="25" t="s">
        <v>108</v>
      </c>
      <c r="F373" s="27">
        <v>30</v>
      </c>
      <c r="G373" s="27">
        <v>5</v>
      </c>
      <c r="H373" s="29">
        <v>7.69</v>
      </c>
      <c r="I373" s="29">
        <v>230.6</v>
      </c>
      <c r="J373" s="8">
        <f>IF(OR(A373="",I373=""),"",IF(SUMIFS($I$8:$I$657,$A$8:$A$657,A373)=0,"",I373*SUMIFS('Facturas y gastos'!$D$10:$D$13,'Facturas y gastos'!$A$10:$A$13,A373)/SUMIFS($I$8:$I$657,$A$8:$A$657,A373)))</f>
        <v>230.59994203750978</v>
      </c>
      <c r="K373" s="8">
        <f>IF(J373="","",IF(SUMIFS('Facturas y gastos'!$D$10:$D$13,'Facturas y gastos'!$A$10:$A$13,A373)=0,"",J373*SUMIFS('Facturas y gastos'!$G$10:$G$13,'Facturas y gastos'!$A$10:$A$13,A373)/SUMIFS('Facturas y gastos'!$D$10:$D$13,'Facturas y gastos'!$A$10:$A$13,A373)))</f>
        <v>2.3059797131284041</v>
      </c>
      <c r="L373" s="8">
        <f>IF(J373="","",IF(SUMIFS('Facturas y gastos'!$D$10:$D$13,'Facturas y gastos'!$A$10:$A$13,A373)=0,"",J373*SUMIFS('Facturas y gastos'!$H$10:$H$13,'Facturas y gastos'!$A$10:$A$13,A373)/SUMIFS('Facturas y gastos'!$D$10:$D$13,'Facturas y gastos'!$A$10:$A$13,A373)))</f>
        <v>6.9179971018754882</v>
      </c>
      <c r="M373" s="8">
        <f>IF(J373="","",IF(SUMIFS('Facturas y gastos'!$D$10:$D$13,'Facturas y gastos'!$A$10:$A$13,A373)=0,"",J373*SUMIFS('Facturas y gastos'!$I$10:$I$13,'Facturas y gastos'!$A$10:$A$13,A373)/SUMIFS('Facturas y gastos'!$D$10:$D$13,'Facturas y gastos'!$A$10:$A$13,A373)))</f>
        <v>45.790367317802115</v>
      </c>
      <c r="N373" s="8">
        <f>IF(J373="","",IF(SUMIFS('Facturas y gastos'!$D$10:$D$13,'Facturas y gastos'!$A$10:$A$13,A373)=0,"",J373*SUMIFS('Facturas y gastos'!$J$10:$J$13,'Facturas y gastos'!$A$10:$A$13,A373)/SUMIFS('Facturas y gastos'!$D$10:$D$13,'Facturas y gastos'!$A$10:$A$13,A373)))</f>
        <v>0</v>
      </c>
      <c r="O373" s="8">
        <f t="shared" si="10"/>
        <v>281.00232674405896</v>
      </c>
      <c r="P373" s="8" t="str">
        <f>IF(OR(O373="",'Facturas y gastos'!$B$24="",'Facturas y gastos'!$B$45&lt;&gt;"OK",SUM($O$8:$O$657)=0),"",O373*'Facturas y gastos'!$B$43/SUM($O$8:$O$657))</f>
        <v/>
      </c>
      <c r="Q373" s="8" t="str">
        <f>IF(OR(O373="",'Facturas y gastos'!$B$5="",P373=""),"",O373*'Facturas y gastos'!$B$5+P373)</f>
        <v/>
      </c>
      <c r="R373" s="8" t="str">
        <f t="shared" si="11"/>
        <v/>
      </c>
    </row>
    <row r="374" spans="1:18">
      <c r="A374" s="25" t="s">
        <v>61</v>
      </c>
      <c r="B374" s="25">
        <v>129</v>
      </c>
      <c r="C374" s="25" t="s">
        <v>524</v>
      </c>
      <c r="D374" s="25" t="s">
        <v>517</v>
      </c>
      <c r="E374" s="25" t="s">
        <v>108</v>
      </c>
      <c r="F374" s="27">
        <v>30</v>
      </c>
      <c r="G374" s="27">
        <v>5</v>
      </c>
      <c r="H374" s="29">
        <v>7.69</v>
      </c>
      <c r="I374" s="29">
        <v>230.6</v>
      </c>
      <c r="J374" s="8">
        <f>IF(OR(A374="",I374=""),"",IF(SUMIFS($I$8:$I$657,$A$8:$A$657,A374)=0,"",I374*SUMIFS('Facturas y gastos'!$D$10:$D$13,'Facturas y gastos'!$A$10:$A$13,A374)/SUMIFS($I$8:$I$657,$A$8:$A$657,A374)))</f>
        <v>230.59994203750978</v>
      </c>
      <c r="K374" s="8">
        <f>IF(J374="","",IF(SUMIFS('Facturas y gastos'!$D$10:$D$13,'Facturas y gastos'!$A$10:$A$13,A374)=0,"",J374*SUMIFS('Facturas y gastos'!$G$10:$G$13,'Facturas y gastos'!$A$10:$A$13,A374)/SUMIFS('Facturas y gastos'!$D$10:$D$13,'Facturas y gastos'!$A$10:$A$13,A374)))</f>
        <v>2.3059797131284041</v>
      </c>
      <c r="L374" s="8">
        <f>IF(J374="","",IF(SUMIFS('Facturas y gastos'!$D$10:$D$13,'Facturas y gastos'!$A$10:$A$13,A374)=0,"",J374*SUMIFS('Facturas y gastos'!$H$10:$H$13,'Facturas y gastos'!$A$10:$A$13,A374)/SUMIFS('Facturas y gastos'!$D$10:$D$13,'Facturas y gastos'!$A$10:$A$13,A374)))</f>
        <v>6.9179971018754882</v>
      </c>
      <c r="M374" s="8">
        <f>IF(J374="","",IF(SUMIFS('Facturas y gastos'!$D$10:$D$13,'Facturas y gastos'!$A$10:$A$13,A374)=0,"",J374*SUMIFS('Facturas y gastos'!$I$10:$I$13,'Facturas y gastos'!$A$10:$A$13,A374)/SUMIFS('Facturas y gastos'!$D$10:$D$13,'Facturas y gastos'!$A$10:$A$13,A374)))</f>
        <v>45.790367317802115</v>
      </c>
      <c r="N374" s="8">
        <f>IF(J374="","",IF(SUMIFS('Facturas y gastos'!$D$10:$D$13,'Facturas y gastos'!$A$10:$A$13,A374)=0,"",J374*SUMIFS('Facturas y gastos'!$J$10:$J$13,'Facturas y gastos'!$A$10:$A$13,A374)/SUMIFS('Facturas y gastos'!$D$10:$D$13,'Facturas y gastos'!$A$10:$A$13,A374)))</f>
        <v>0</v>
      </c>
      <c r="O374" s="8">
        <f t="shared" si="10"/>
        <v>281.00232674405896</v>
      </c>
      <c r="P374" s="8" t="str">
        <f>IF(OR(O374="",'Facturas y gastos'!$B$24="",'Facturas y gastos'!$B$45&lt;&gt;"OK",SUM($O$8:$O$657)=0),"",O374*'Facturas y gastos'!$B$43/SUM($O$8:$O$657))</f>
        <v/>
      </c>
      <c r="Q374" s="8" t="str">
        <f>IF(OR(O374="",'Facturas y gastos'!$B$5="",P374=""),"",O374*'Facturas y gastos'!$B$5+P374)</f>
        <v/>
      </c>
      <c r="R374" s="8" t="str">
        <f t="shared" si="11"/>
        <v/>
      </c>
    </row>
    <row r="375" spans="1:18">
      <c r="A375" s="25" t="s">
        <v>61</v>
      </c>
      <c r="B375" s="25">
        <v>130</v>
      </c>
      <c r="C375" s="25" t="s">
        <v>525</v>
      </c>
      <c r="D375" s="25" t="s">
        <v>517</v>
      </c>
      <c r="E375" s="25" t="s">
        <v>108</v>
      </c>
      <c r="F375" s="27">
        <v>30</v>
      </c>
      <c r="G375" s="27">
        <v>5</v>
      </c>
      <c r="H375" s="29">
        <v>7.69</v>
      </c>
      <c r="I375" s="29">
        <v>230.6</v>
      </c>
      <c r="J375" s="8">
        <f>IF(OR(A375="",I375=""),"",IF(SUMIFS($I$8:$I$657,$A$8:$A$657,A375)=0,"",I375*SUMIFS('Facturas y gastos'!$D$10:$D$13,'Facturas y gastos'!$A$10:$A$13,A375)/SUMIFS($I$8:$I$657,$A$8:$A$657,A375)))</f>
        <v>230.59994203750978</v>
      </c>
      <c r="K375" s="8">
        <f>IF(J375="","",IF(SUMIFS('Facturas y gastos'!$D$10:$D$13,'Facturas y gastos'!$A$10:$A$13,A375)=0,"",J375*SUMIFS('Facturas y gastos'!$G$10:$G$13,'Facturas y gastos'!$A$10:$A$13,A375)/SUMIFS('Facturas y gastos'!$D$10:$D$13,'Facturas y gastos'!$A$10:$A$13,A375)))</f>
        <v>2.3059797131284041</v>
      </c>
      <c r="L375" s="8">
        <f>IF(J375="","",IF(SUMIFS('Facturas y gastos'!$D$10:$D$13,'Facturas y gastos'!$A$10:$A$13,A375)=0,"",J375*SUMIFS('Facturas y gastos'!$H$10:$H$13,'Facturas y gastos'!$A$10:$A$13,A375)/SUMIFS('Facturas y gastos'!$D$10:$D$13,'Facturas y gastos'!$A$10:$A$13,A375)))</f>
        <v>6.9179971018754882</v>
      </c>
      <c r="M375" s="8">
        <f>IF(J375="","",IF(SUMIFS('Facturas y gastos'!$D$10:$D$13,'Facturas y gastos'!$A$10:$A$13,A375)=0,"",J375*SUMIFS('Facturas y gastos'!$I$10:$I$13,'Facturas y gastos'!$A$10:$A$13,A375)/SUMIFS('Facturas y gastos'!$D$10:$D$13,'Facturas y gastos'!$A$10:$A$13,A375)))</f>
        <v>45.790367317802115</v>
      </c>
      <c r="N375" s="8">
        <f>IF(J375="","",IF(SUMIFS('Facturas y gastos'!$D$10:$D$13,'Facturas y gastos'!$A$10:$A$13,A375)=0,"",J375*SUMIFS('Facturas y gastos'!$J$10:$J$13,'Facturas y gastos'!$A$10:$A$13,A375)/SUMIFS('Facturas y gastos'!$D$10:$D$13,'Facturas y gastos'!$A$10:$A$13,A375)))</f>
        <v>0</v>
      </c>
      <c r="O375" s="8">
        <f t="shared" si="10"/>
        <v>281.00232674405896</v>
      </c>
      <c r="P375" s="8" t="str">
        <f>IF(OR(O375="",'Facturas y gastos'!$B$24="",'Facturas y gastos'!$B$45&lt;&gt;"OK",SUM($O$8:$O$657)=0),"",O375*'Facturas y gastos'!$B$43/SUM($O$8:$O$657))</f>
        <v/>
      </c>
      <c r="Q375" s="8" t="str">
        <f>IF(OR(O375="",'Facturas y gastos'!$B$5="",P375=""),"",O375*'Facturas y gastos'!$B$5+P375)</f>
        <v/>
      </c>
      <c r="R375" s="8" t="str">
        <f t="shared" si="11"/>
        <v/>
      </c>
    </row>
    <row r="376" spans="1:18">
      <c r="A376" s="25" t="s">
        <v>61</v>
      </c>
      <c r="B376" s="25">
        <v>131</v>
      </c>
      <c r="C376" s="25" t="s">
        <v>526</v>
      </c>
      <c r="D376" s="25" t="s">
        <v>527</v>
      </c>
      <c r="E376" s="25" t="s">
        <v>108</v>
      </c>
      <c r="F376" s="27">
        <v>96</v>
      </c>
      <c r="G376" s="27">
        <v>8</v>
      </c>
      <c r="H376" s="29">
        <v>5.97</v>
      </c>
      <c r="I376" s="29">
        <v>573.13</v>
      </c>
      <c r="J376" s="8">
        <f>IF(OR(A376="",I376=""),"",IF(SUMIFS($I$8:$I$657,$A$8:$A$657,A376)=0,"",I376*SUMIFS('Facturas y gastos'!$D$10:$D$13,'Facturas y gastos'!$A$10:$A$13,A376)/SUMIFS($I$8:$I$657,$A$8:$A$657,A376)))</f>
        <v>573.12985594084114</v>
      </c>
      <c r="K376" s="8">
        <f>IF(J376="","",IF(SUMIFS('Facturas y gastos'!$D$10:$D$13,'Facturas y gastos'!$A$10:$A$13,A376)=0,"",J376*SUMIFS('Facturas y gastos'!$G$10:$G$13,'Facturas y gastos'!$A$10:$A$13,A376)/SUMIFS('Facturas y gastos'!$D$10:$D$13,'Facturas y gastos'!$A$10:$A$13,A376)))</f>
        <v>5.7312495792943716</v>
      </c>
      <c r="L376" s="8">
        <f>IF(J376="","",IF(SUMIFS('Facturas y gastos'!$D$10:$D$13,'Facturas y gastos'!$A$10:$A$13,A376)=0,"",J376*SUMIFS('Facturas y gastos'!$H$10:$H$13,'Facturas y gastos'!$A$10:$A$13,A376)/SUMIFS('Facturas y gastos'!$D$10:$D$13,'Facturas y gastos'!$A$10:$A$13,A376)))</f>
        <v>17.193892797042057</v>
      </c>
      <c r="M376" s="8">
        <f>IF(J376="","",IF(SUMIFS('Facturas y gastos'!$D$10:$D$13,'Facturas y gastos'!$A$10:$A$13,A376)=0,"",J376*SUMIFS('Facturas y gastos'!$I$10:$I$13,'Facturas y gastos'!$A$10:$A$13,A376)/SUMIFS('Facturas y gastos'!$D$10:$D$13,'Facturas y gastos'!$A$10:$A$13,A376)))</f>
        <v>113.80673556310461</v>
      </c>
      <c r="N376" s="8">
        <f>IF(J376="","",IF(SUMIFS('Facturas y gastos'!$D$10:$D$13,'Facturas y gastos'!$A$10:$A$13,A376)=0,"",J376*SUMIFS('Facturas y gastos'!$J$10:$J$13,'Facturas y gastos'!$A$10:$A$13,A376)/SUMIFS('Facturas y gastos'!$D$10:$D$13,'Facturas y gastos'!$A$10:$A$13,A376)))</f>
        <v>0</v>
      </c>
      <c r="O376" s="8">
        <f t="shared" si="10"/>
        <v>698.39923472169335</v>
      </c>
      <c r="P376" s="8" t="str">
        <f>IF(OR(O376="",'Facturas y gastos'!$B$24="",'Facturas y gastos'!$B$45&lt;&gt;"OK",SUM($O$8:$O$657)=0),"",O376*'Facturas y gastos'!$B$43/SUM($O$8:$O$657))</f>
        <v/>
      </c>
      <c r="Q376" s="8" t="str">
        <f>IF(OR(O376="",'Facturas y gastos'!$B$5="",P376=""),"",O376*'Facturas y gastos'!$B$5+P376)</f>
        <v/>
      </c>
      <c r="R376" s="8" t="str">
        <f t="shared" si="11"/>
        <v/>
      </c>
    </row>
    <row r="377" spans="1:18">
      <c r="A377" s="25" t="s">
        <v>61</v>
      </c>
      <c r="B377" s="25">
        <v>132</v>
      </c>
      <c r="C377" s="25" t="s">
        <v>528</v>
      </c>
      <c r="D377" s="25" t="s">
        <v>527</v>
      </c>
      <c r="E377" s="25" t="s">
        <v>108</v>
      </c>
      <c r="F377" s="27">
        <v>96</v>
      </c>
      <c r="G377" s="27">
        <v>8</v>
      </c>
      <c r="H377" s="29">
        <v>5.97</v>
      </c>
      <c r="I377" s="29">
        <v>573.13</v>
      </c>
      <c r="J377" s="8">
        <f>IF(OR(A377="",I377=""),"",IF(SUMIFS($I$8:$I$657,$A$8:$A$657,A377)=0,"",I377*SUMIFS('Facturas y gastos'!$D$10:$D$13,'Facturas y gastos'!$A$10:$A$13,A377)/SUMIFS($I$8:$I$657,$A$8:$A$657,A377)))</f>
        <v>573.12985594084114</v>
      </c>
      <c r="K377" s="8">
        <f>IF(J377="","",IF(SUMIFS('Facturas y gastos'!$D$10:$D$13,'Facturas y gastos'!$A$10:$A$13,A377)=0,"",J377*SUMIFS('Facturas y gastos'!$G$10:$G$13,'Facturas y gastos'!$A$10:$A$13,A377)/SUMIFS('Facturas y gastos'!$D$10:$D$13,'Facturas y gastos'!$A$10:$A$13,A377)))</f>
        <v>5.7312495792943716</v>
      </c>
      <c r="L377" s="8">
        <f>IF(J377="","",IF(SUMIFS('Facturas y gastos'!$D$10:$D$13,'Facturas y gastos'!$A$10:$A$13,A377)=0,"",J377*SUMIFS('Facturas y gastos'!$H$10:$H$13,'Facturas y gastos'!$A$10:$A$13,A377)/SUMIFS('Facturas y gastos'!$D$10:$D$13,'Facturas y gastos'!$A$10:$A$13,A377)))</f>
        <v>17.193892797042057</v>
      </c>
      <c r="M377" s="8">
        <f>IF(J377="","",IF(SUMIFS('Facturas y gastos'!$D$10:$D$13,'Facturas y gastos'!$A$10:$A$13,A377)=0,"",J377*SUMIFS('Facturas y gastos'!$I$10:$I$13,'Facturas y gastos'!$A$10:$A$13,A377)/SUMIFS('Facturas y gastos'!$D$10:$D$13,'Facturas y gastos'!$A$10:$A$13,A377)))</f>
        <v>113.80673556310461</v>
      </c>
      <c r="N377" s="8">
        <f>IF(J377="","",IF(SUMIFS('Facturas y gastos'!$D$10:$D$13,'Facturas y gastos'!$A$10:$A$13,A377)=0,"",J377*SUMIFS('Facturas y gastos'!$J$10:$J$13,'Facturas y gastos'!$A$10:$A$13,A377)/SUMIFS('Facturas y gastos'!$D$10:$D$13,'Facturas y gastos'!$A$10:$A$13,A377)))</f>
        <v>0</v>
      </c>
      <c r="O377" s="8">
        <f t="shared" si="10"/>
        <v>698.39923472169335</v>
      </c>
      <c r="P377" s="8" t="str">
        <f>IF(OR(O377="",'Facturas y gastos'!$B$24="",'Facturas y gastos'!$B$45&lt;&gt;"OK",SUM($O$8:$O$657)=0),"",O377*'Facturas y gastos'!$B$43/SUM($O$8:$O$657))</f>
        <v/>
      </c>
      <c r="Q377" s="8" t="str">
        <f>IF(OR(O377="",'Facturas y gastos'!$B$5="",P377=""),"",O377*'Facturas y gastos'!$B$5+P377)</f>
        <v/>
      </c>
      <c r="R377" s="8" t="str">
        <f t="shared" si="11"/>
        <v/>
      </c>
    </row>
    <row r="378" spans="1:18">
      <c r="A378" s="25" t="s">
        <v>61</v>
      </c>
      <c r="B378" s="25">
        <v>133</v>
      </c>
      <c r="C378" s="25" t="s">
        <v>529</v>
      </c>
      <c r="D378" s="25" t="s">
        <v>527</v>
      </c>
      <c r="E378" s="25" t="s">
        <v>108</v>
      </c>
      <c r="F378" s="27">
        <v>72</v>
      </c>
      <c r="G378" s="27">
        <v>6</v>
      </c>
      <c r="H378" s="29">
        <v>5.97</v>
      </c>
      <c r="I378" s="29">
        <v>429.85</v>
      </c>
      <c r="J378" s="8">
        <f>IF(OR(A378="",I378=""),"",IF(SUMIFS($I$8:$I$657,$A$8:$A$657,A378)=0,"",I378*SUMIFS('Facturas y gastos'!$D$10:$D$13,'Facturas y gastos'!$A$10:$A$13,A378)/SUMIFS($I$8:$I$657,$A$8:$A$657,A378)))</f>
        <v>429.84989195500248</v>
      </c>
      <c r="K378" s="8">
        <f>IF(J378="","",IF(SUMIFS('Facturas y gastos'!$D$10:$D$13,'Facturas y gastos'!$A$10:$A$13,A378)=0,"",J378*SUMIFS('Facturas y gastos'!$G$10:$G$13,'Facturas y gastos'!$A$10:$A$13,A378)/SUMIFS('Facturas y gastos'!$D$10:$D$13,'Facturas y gastos'!$A$10:$A$13,A378)))</f>
        <v>4.2984621842508428</v>
      </c>
      <c r="L378" s="8">
        <f>IF(J378="","",IF(SUMIFS('Facturas y gastos'!$D$10:$D$13,'Facturas y gastos'!$A$10:$A$13,A378)=0,"",J378*SUMIFS('Facturas y gastos'!$H$10:$H$13,'Facturas y gastos'!$A$10:$A$13,A378)/SUMIFS('Facturas y gastos'!$D$10:$D$13,'Facturas y gastos'!$A$10:$A$13,A378)))</f>
        <v>12.895494597750123</v>
      </c>
      <c r="M378" s="8">
        <f>IF(J378="","",IF(SUMIFS('Facturas y gastos'!$D$10:$D$13,'Facturas y gastos'!$A$10:$A$13,A378)=0,"",J378*SUMIFS('Facturas y gastos'!$I$10:$I$13,'Facturas y gastos'!$A$10:$A$13,A378)/SUMIFS('Facturas y gastos'!$D$10:$D$13,'Facturas y gastos'!$A$10:$A$13,A378)))</f>
        <v>85.355548098687066</v>
      </c>
      <c r="N378" s="8">
        <f>IF(J378="","",IF(SUMIFS('Facturas y gastos'!$D$10:$D$13,'Facturas y gastos'!$A$10:$A$13,A378)=0,"",J378*SUMIFS('Facturas y gastos'!$J$10:$J$13,'Facturas y gastos'!$A$10:$A$13,A378)/SUMIFS('Facturas y gastos'!$D$10:$D$13,'Facturas y gastos'!$A$10:$A$13,A378)))</f>
        <v>0</v>
      </c>
      <c r="O378" s="8">
        <f t="shared" si="10"/>
        <v>523.80247246718886</v>
      </c>
      <c r="P378" s="8" t="str">
        <f>IF(OR(O378="",'Facturas y gastos'!$B$24="",'Facturas y gastos'!$B$45&lt;&gt;"OK",SUM($O$8:$O$657)=0),"",O378*'Facturas y gastos'!$B$43/SUM($O$8:$O$657))</f>
        <v/>
      </c>
      <c r="Q378" s="8" t="str">
        <f>IF(OR(O378="",'Facturas y gastos'!$B$5="",P378=""),"",O378*'Facturas y gastos'!$B$5+P378)</f>
        <v/>
      </c>
      <c r="R378" s="8" t="str">
        <f t="shared" si="11"/>
        <v/>
      </c>
    </row>
    <row r="379" spans="1:18">
      <c r="A379" s="25" t="s">
        <v>61</v>
      </c>
      <c r="B379" s="25">
        <v>134</v>
      </c>
      <c r="C379" s="25" t="s">
        <v>530</v>
      </c>
      <c r="D379" s="25" t="s">
        <v>527</v>
      </c>
      <c r="E379" s="25" t="s">
        <v>108</v>
      </c>
      <c r="F379" s="27">
        <v>60</v>
      </c>
      <c r="G379" s="27">
        <v>5</v>
      </c>
      <c r="H379" s="29">
        <v>5.97</v>
      </c>
      <c r="I379" s="29">
        <v>358.21</v>
      </c>
      <c r="J379" s="8">
        <f>IF(OR(A379="",I379=""),"",IF(SUMIFS($I$8:$I$657,$A$8:$A$657,A379)=0,"",I379*SUMIFS('Facturas y gastos'!$D$10:$D$13,'Facturas y gastos'!$A$10:$A$13,A379)/SUMIFS($I$8:$I$657,$A$8:$A$657,A379)))</f>
        <v>358.20990996208309</v>
      </c>
      <c r="K379" s="8">
        <f>IF(J379="","",IF(SUMIFS('Facturas y gastos'!$D$10:$D$13,'Facturas y gastos'!$A$10:$A$13,A379)=0,"",J379*SUMIFS('Facturas y gastos'!$G$10:$G$13,'Facturas y gastos'!$A$10:$A$13,A379)/SUMIFS('Facturas y gastos'!$D$10:$D$13,'Facturas y gastos'!$A$10:$A$13,A379)))</f>
        <v>3.5820684867290784</v>
      </c>
      <c r="L379" s="8">
        <f>IF(J379="","",IF(SUMIFS('Facturas y gastos'!$D$10:$D$13,'Facturas y gastos'!$A$10:$A$13,A379)=0,"",J379*SUMIFS('Facturas y gastos'!$H$10:$H$13,'Facturas y gastos'!$A$10:$A$13,A379)/SUMIFS('Facturas y gastos'!$D$10:$D$13,'Facturas y gastos'!$A$10:$A$13,A379)))</f>
        <v>10.746295498104155</v>
      </c>
      <c r="M379" s="8">
        <f>IF(J379="","",IF(SUMIFS('Facturas y gastos'!$D$10:$D$13,'Facturas y gastos'!$A$10:$A$13,A379)=0,"",J379*SUMIFS('Facturas y gastos'!$I$10:$I$13,'Facturas y gastos'!$A$10:$A$13,A379)/SUMIFS('Facturas y gastos'!$D$10:$D$13,'Facturas y gastos'!$A$10:$A$13,A379)))</f>
        <v>71.129954366478287</v>
      </c>
      <c r="N379" s="8">
        <f>IF(J379="","",IF(SUMIFS('Facturas y gastos'!$D$10:$D$13,'Facturas y gastos'!$A$10:$A$13,A379)=0,"",J379*SUMIFS('Facturas y gastos'!$J$10:$J$13,'Facturas y gastos'!$A$10:$A$13,A379)/SUMIFS('Facturas y gastos'!$D$10:$D$13,'Facturas y gastos'!$A$10:$A$13,A379)))</f>
        <v>0</v>
      </c>
      <c r="O379" s="8">
        <f t="shared" si="10"/>
        <v>436.50409133993639</v>
      </c>
      <c r="P379" s="8" t="str">
        <f>IF(OR(O379="",'Facturas y gastos'!$B$24="",'Facturas y gastos'!$B$45&lt;&gt;"OK",SUM($O$8:$O$657)=0),"",O379*'Facturas y gastos'!$B$43/SUM($O$8:$O$657))</f>
        <v/>
      </c>
      <c r="Q379" s="8" t="str">
        <f>IF(OR(O379="",'Facturas y gastos'!$B$5="",P379=""),"",O379*'Facturas y gastos'!$B$5+P379)</f>
        <v/>
      </c>
      <c r="R379" s="8" t="str">
        <f t="shared" si="11"/>
        <v/>
      </c>
    </row>
    <row r="380" spans="1:18">
      <c r="A380" s="25" t="s">
        <v>61</v>
      </c>
      <c r="B380" s="25">
        <v>135</v>
      </c>
      <c r="C380" s="25" t="s">
        <v>531</v>
      </c>
      <c r="D380" s="25" t="s">
        <v>532</v>
      </c>
      <c r="E380" s="25" t="s">
        <v>108</v>
      </c>
      <c r="F380" s="27">
        <v>40</v>
      </c>
      <c r="G380" s="27">
        <v>5</v>
      </c>
      <c r="H380" s="29">
        <v>4.33</v>
      </c>
      <c r="I380" s="29">
        <v>173.13</v>
      </c>
      <c r="J380" s="8">
        <f>IF(OR(A380="",I380=""),"",IF(SUMIFS($I$8:$I$657,$A$8:$A$657,A380)=0,"",I380*SUMIFS('Facturas y gastos'!$D$10:$D$13,'Facturas y gastos'!$A$10:$A$13,A380)/SUMIFS($I$8:$I$657,$A$8:$A$657,A380)))</f>
        <v>173.12995648288839</v>
      </c>
      <c r="K380" s="8">
        <f>IF(J380="","",IF(SUMIFS('Facturas y gastos'!$D$10:$D$13,'Facturas y gastos'!$A$10:$A$13,A380)=0,"",J380*SUMIFS('Facturas y gastos'!$G$10:$G$13,'Facturas y gastos'!$A$10:$A$13,A380)/SUMIFS('Facturas y gastos'!$D$10:$D$13,'Facturas y gastos'!$A$10:$A$13,A380)))</f>
        <v>1.7312847690109303</v>
      </c>
      <c r="L380" s="8">
        <f>IF(J380="","",IF(SUMIFS('Facturas y gastos'!$D$10:$D$13,'Facturas y gastos'!$A$10:$A$13,A380)=0,"",J380*SUMIFS('Facturas y gastos'!$H$10:$H$13,'Facturas y gastos'!$A$10:$A$13,A380)/SUMIFS('Facturas y gastos'!$D$10:$D$13,'Facturas y gastos'!$A$10:$A$13,A380)))</f>
        <v>5.19389782414442</v>
      </c>
      <c r="M380" s="8">
        <f>IF(J380="","",IF(SUMIFS('Facturas y gastos'!$D$10:$D$13,'Facturas y gastos'!$A$10:$A$13,A380)=0,"",J380*SUMIFS('Facturas y gastos'!$I$10:$I$13,'Facturas y gastos'!$A$10:$A$13,A380)/SUMIFS('Facturas y gastos'!$D$10:$D$13,'Facturas y gastos'!$A$10:$A$13,A380)))</f>
        <v>34.378518186171206</v>
      </c>
      <c r="N380" s="8">
        <f>IF(J380="","",IF(SUMIFS('Facturas y gastos'!$D$10:$D$13,'Facturas y gastos'!$A$10:$A$13,A380)=0,"",J380*SUMIFS('Facturas y gastos'!$J$10:$J$13,'Facturas y gastos'!$A$10:$A$13,A380)/SUMIFS('Facturas y gastos'!$D$10:$D$13,'Facturas y gastos'!$A$10:$A$13,A380)))</f>
        <v>0</v>
      </c>
      <c r="O380" s="8">
        <f t="shared" si="10"/>
        <v>210.97108772419307</v>
      </c>
      <c r="P380" s="8" t="str">
        <f>IF(OR(O380="",'Facturas y gastos'!$B$24="",'Facturas y gastos'!$B$45&lt;&gt;"OK",SUM($O$8:$O$657)=0),"",O380*'Facturas y gastos'!$B$43/SUM($O$8:$O$657))</f>
        <v/>
      </c>
      <c r="Q380" s="8" t="str">
        <f>IF(OR(O380="",'Facturas y gastos'!$B$5="",P380=""),"",O380*'Facturas y gastos'!$B$5+P380)</f>
        <v/>
      </c>
      <c r="R380" s="8" t="str">
        <f t="shared" si="11"/>
        <v/>
      </c>
    </row>
    <row r="381" spans="1:18">
      <c r="A381" s="25" t="s">
        <v>61</v>
      </c>
      <c r="B381" s="25">
        <v>136</v>
      </c>
      <c r="C381" s="25" t="s">
        <v>533</v>
      </c>
      <c r="D381" s="25" t="s">
        <v>532</v>
      </c>
      <c r="E381" s="25" t="s">
        <v>108</v>
      </c>
      <c r="F381" s="27">
        <v>60</v>
      </c>
      <c r="G381" s="27">
        <v>5</v>
      </c>
      <c r="H381" s="29">
        <v>4.63</v>
      </c>
      <c r="I381" s="29">
        <v>277.61</v>
      </c>
      <c r="J381" s="8">
        <f>IF(OR(A381="",I381=""),"",IF(SUMIFS($I$8:$I$657,$A$8:$A$657,A381)=0,"",I381*SUMIFS('Facturas y gastos'!$D$10:$D$13,'Facturas y gastos'!$A$10:$A$13,A381)/SUMIFS($I$8:$I$657,$A$8:$A$657,A381)))</f>
        <v>277.60993022130566</v>
      </c>
      <c r="K381" s="8">
        <f>IF(J381="","",IF(SUMIFS('Facturas y gastos'!$D$10:$D$13,'Facturas y gastos'!$A$10:$A$13,A381)=0,"",J381*SUMIFS('Facturas y gastos'!$G$10:$G$13,'Facturas y gastos'!$A$10:$A$13,A381)/SUMIFS('Facturas y gastos'!$D$10:$D$13,'Facturas y gastos'!$A$10:$A$13,A381)))</f>
        <v>2.7760755774569654</v>
      </c>
      <c r="L381" s="8">
        <f>IF(J381="","",IF(SUMIFS('Facturas y gastos'!$D$10:$D$13,'Facturas y gastos'!$A$10:$A$13,A381)=0,"",J381*SUMIFS('Facturas y gastos'!$H$10:$H$13,'Facturas y gastos'!$A$10:$A$13,A381)/SUMIFS('Facturas y gastos'!$D$10:$D$13,'Facturas y gastos'!$A$10:$A$13,A381)))</f>
        <v>8.3282965110652825</v>
      </c>
      <c r="M381" s="8">
        <f>IF(J381="","",IF(SUMIFS('Facturas y gastos'!$D$10:$D$13,'Facturas y gastos'!$A$10:$A$13,A381)=0,"",J381*SUMIFS('Facturas y gastos'!$I$10:$I$13,'Facturas y gastos'!$A$10:$A$13,A381)/SUMIFS('Facturas y gastos'!$D$10:$D$13,'Facturas y gastos'!$A$10:$A$13,A381)))</f>
        <v>55.125168565026215</v>
      </c>
      <c r="N381" s="8">
        <f>IF(J381="","",IF(SUMIFS('Facturas y gastos'!$D$10:$D$13,'Facturas y gastos'!$A$10:$A$13,A381)=0,"",J381*SUMIFS('Facturas y gastos'!$J$10:$J$13,'Facturas y gastos'!$A$10:$A$13,A381)/SUMIFS('Facturas y gastos'!$D$10:$D$13,'Facturas y gastos'!$A$10:$A$13,A381)))</f>
        <v>0</v>
      </c>
      <c r="O381" s="8">
        <f t="shared" si="10"/>
        <v>338.28731971994017</v>
      </c>
      <c r="P381" s="8" t="str">
        <f>IF(OR(O381="",'Facturas y gastos'!$B$24="",'Facturas y gastos'!$B$45&lt;&gt;"OK",SUM($O$8:$O$657)=0),"",O381*'Facturas y gastos'!$B$43/SUM($O$8:$O$657))</f>
        <v/>
      </c>
      <c r="Q381" s="8" t="str">
        <f>IF(OR(O381="",'Facturas y gastos'!$B$5="",P381=""),"",O381*'Facturas y gastos'!$B$5+P381)</f>
        <v/>
      </c>
      <c r="R381" s="8" t="str">
        <f t="shared" si="11"/>
        <v/>
      </c>
    </row>
    <row r="382" spans="1:18">
      <c r="A382" s="25" t="s">
        <v>61</v>
      </c>
      <c r="B382" s="25">
        <v>137</v>
      </c>
      <c r="C382" s="25" t="s">
        <v>534</v>
      </c>
      <c r="D382" s="25" t="s">
        <v>532</v>
      </c>
      <c r="E382" s="25" t="s">
        <v>108</v>
      </c>
      <c r="F382" s="27">
        <v>60</v>
      </c>
      <c r="G382" s="27">
        <v>5</v>
      </c>
      <c r="H382" s="29">
        <v>4.63</v>
      </c>
      <c r="I382" s="29">
        <v>277.61</v>
      </c>
      <c r="J382" s="8">
        <f>IF(OR(A382="",I382=""),"",IF(SUMIFS($I$8:$I$657,$A$8:$A$657,A382)=0,"",I382*SUMIFS('Facturas y gastos'!$D$10:$D$13,'Facturas y gastos'!$A$10:$A$13,A382)/SUMIFS($I$8:$I$657,$A$8:$A$657,A382)))</f>
        <v>277.60993022130566</v>
      </c>
      <c r="K382" s="8">
        <f>IF(J382="","",IF(SUMIFS('Facturas y gastos'!$D$10:$D$13,'Facturas y gastos'!$A$10:$A$13,A382)=0,"",J382*SUMIFS('Facturas y gastos'!$G$10:$G$13,'Facturas y gastos'!$A$10:$A$13,A382)/SUMIFS('Facturas y gastos'!$D$10:$D$13,'Facturas y gastos'!$A$10:$A$13,A382)))</f>
        <v>2.7760755774569654</v>
      </c>
      <c r="L382" s="8">
        <f>IF(J382="","",IF(SUMIFS('Facturas y gastos'!$D$10:$D$13,'Facturas y gastos'!$A$10:$A$13,A382)=0,"",J382*SUMIFS('Facturas y gastos'!$H$10:$H$13,'Facturas y gastos'!$A$10:$A$13,A382)/SUMIFS('Facturas y gastos'!$D$10:$D$13,'Facturas y gastos'!$A$10:$A$13,A382)))</f>
        <v>8.3282965110652825</v>
      </c>
      <c r="M382" s="8">
        <f>IF(J382="","",IF(SUMIFS('Facturas y gastos'!$D$10:$D$13,'Facturas y gastos'!$A$10:$A$13,A382)=0,"",J382*SUMIFS('Facturas y gastos'!$I$10:$I$13,'Facturas y gastos'!$A$10:$A$13,A382)/SUMIFS('Facturas y gastos'!$D$10:$D$13,'Facturas y gastos'!$A$10:$A$13,A382)))</f>
        <v>55.125168565026215</v>
      </c>
      <c r="N382" s="8">
        <f>IF(J382="","",IF(SUMIFS('Facturas y gastos'!$D$10:$D$13,'Facturas y gastos'!$A$10:$A$13,A382)=0,"",J382*SUMIFS('Facturas y gastos'!$J$10:$J$13,'Facturas y gastos'!$A$10:$A$13,A382)/SUMIFS('Facturas y gastos'!$D$10:$D$13,'Facturas y gastos'!$A$10:$A$13,A382)))</f>
        <v>0</v>
      </c>
      <c r="O382" s="8">
        <f t="shared" si="10"/>
        <v>338.28731971994017</v>
      </c>
      <c r="P382" s="8" t="str">
        <f>IF(OR(O382="",'Facturas y gastos'!$B$24="",'Facturas y gastos'!$B$45&lt;&gt;"OK",SUM($O$8:$O$657)=0),"",O382*'Facturas y gastos'!$B$43/SUM($O$8:$O$657))</f>
        <v/>
      </c>
      <c r="Q382" s="8" t="str">
        <f>IF(OR(O382="",'Facturas y gastos'!$B$5="",P382=""),"",O382*'Facturas y gastos'!$B$5+P382)</f>
        <v/>
      </c>
      <c r="R382" s="8" t="str">
        <f t="shared" si="11"/>
        <v/>
      </c>
    </row>
    <row r="383" spans="1:18">
      <c r="A383" s="25" t="s">
        <v>61</v>
      </c>
      <c r="B383" s="25">
        <v>138</v>
      </c>
      <c r="C383" s="25" t="s">
        <v>535</v>
      </c>
      <c r="D383" s="25" t="s">
        <v>532</v>
      </c>
      <c r="E383" s="25" t="s">
        <v>108</v>
      </c>
      <c r="F383" s="27">
        <v>40</v>
      </c>
      <c r="G383" s="27">
        <v>5</v>
      </c>
      <c r="H383" s="29">
        <v>6.72</v>
      </c>
      <c r="I383" s="29">
        <v>268.66000000000003</v>
      </c>
      <c r="J383" s="8">
        <f>IF(OR(A383="",I383=""),"",IF(SUMIFS($I$8:$I$657,$A$8:$A$657,A383)=0,"",I383*SUMIFS('Facturas y gastos'!$D$10:$D$13,'Facturas y gastos'!$A$10:$A$13,A383)/SUMIFS($I$8:$I$657,$A$8:$A$657,A383)))</f>
        <v>268.65993247093394</v>
      </c>
      <c r="K383" s="8">
        <f>IF(J383="","",IF(SUMIFS('Facturas y gastos'!$D$10:$D$13,'Facturas y gastos'!$A$10:$A$13,A383)=0,"",J383*SUMIFS('Facturas y gastos'!$G$10:$G$13,'Facturas y gastos'!$A$10:$A$13,A383)/SUMIFS('Facturas y gastos'!$D$10:$D$13,'Facturas y gastos'!$A$10:$A$13,A383)))</f>
        <v>2.6865763648268728</v>
      </c>
      <c r="L383" s="8">
        <f>IF(J383="","",IF(SUMIFS('Facturas y gastos'!$D$10:$D$13,'Facturas y gastos'!$A$10:$A$13,A383)=0,"",J383*SUMIFS('Facturas y gastos'!$H$10:$H$13,'Facturas y gastos'!$A$10:$A$13,A383)/SUMIFS('Facturas y gastos'!$D$10:$D$13,'Facturas y gastos'!$A$10:$A$13,A383)))</f>
        <v>8.0597966235466973</v>
      </c>
      <c r="M383" s="8">
        <f>IF(J383="","",IF(SUMIFS('Facturas y gastos'!$D$10:$D$13,'Facturas y gastos'!$A$10:$A$13,A383)=0,"",J383*SUMIFS('Facturas y gastos'!$I$10:$I$13,'Facturas y gastos'!$A$10:$A$13,A383)/SUMIFS('Facturas y gastos'!$D$10:$D$13,'Facturas y gastos'!$A$10:$A$13,A383)))</f>
        <v>53.347962201217314</v>
      </c>
      <c r="N383" s="8">
        <f>IF(J383="","",IF(SUMIFS('Facturas y gastos'!$D$10:$D$13,'Facturas y gastos'!$A$10:$A$13,A383)=0,"",J383*SUMIFS('Facturas y gastos'!$J$10:$J$13,'Facturas y gastos'!$A$10:$A$13,A383)/SUMIFS('Facturas y gastos'!$D$10:$D$13,'Facturas y gastos'!$A$10:$A$13,A383)))</f>
        <v>0</v>
      </c>
      <c r="O383" s="8">
        <f t="shared" si="10"/>
        <v>327.38111493087104</v>
      </c>
      <c r="P383" s="8" t="str">
        <f>IF(OR(O383="",'Facturas y gastos'!$B$24="",'Facturas y gastos'!$B$45&lt;&gt;"OK",SUM($O$8:$O$657)=0),"",O383*'Facturas y gastos'!$B$43/SUM($O$8:$O$657))</f>
        <v/>
      </c>
      <c r="Q383" s="8" t="str">
        <f>IF(OR(O383="",'Facturas y gastos'!$B$5="",P383=""),"",O383*'Facturas y gastos'!$B$5+P383)</f>
        <v/>
      </c>
      <c r="R383" s="8" t="str">
        <f t="shared" si="11"/>
        <v/>
      </c>
    </row>
    <row r="384" spans="1:18">
      <c r="A384" s="25" t="s">
        <v>61</v>
      </c>
      <c r="B384" s="25">
        <v>139</v>
      </c>
      <c r="C384" s="25" t="s">
        <v>536</v>
      </c>
      <c r="D384" s="25" t="s">
        <v>532</v>
      </c>
      <c r="E384" s="25" t="s">
        <v>108</v>
      </c>
      <c r="F384" s="27">
        <v>50</v>
      </c>
      <c r="G384" s="27">
        <v>5</v>
      </c>
      <c r="H384" s="29">
        <v>4.03</v>
      </c>
      <c r="I384" s="29">
        <v>201.49</v>
      </c>
      <c r="J384" s="8">
        <f>IF(OR(A384="",I384=""),"",IF(SUMIFS($I$8:$I$657,$A$8:$A$657,A384)=0,"",I384*SUMIFS('Facturas y gastos'!$D$10:$D$13,'Facturas y gastos'!$A$10:$A$13,A384)/SUMIFS($I$8:$I$657,$A$8:$A$657,A384)))</f>
        <v>201.48994935445725</v>
      </c>
      <c r="K384" s="8">
        <f>IF(J384="","",IF(SUMIFS('Facturas y gastos'!$D$10:$D$13,'Facturas y gastos'!$A$10:$A$13,A384)=0,"",J384*SUMIFS('Facturas y gastos'!$G$10:$G$13,'Facturas y gastos'!$A$10:$A$13,A384)/SUMIFS('Facturas y gastos'!$D$10:$D$13,'Facturas y gastos'!$A$10:$A$13,A384)))</f>
        <v>2.0148822740600267</v>
      </c>
      <c r="L384" s="8">
        <f>IF(J384="","",IF(SUMIFS('Facturas y gastos'!$D$10:$D$13,'Facturas y gastos'!$A$10:$A$13,A384)=0,"",J384*SUMIFS('Facturas y gastos'!$H$10:$H$13,'Facturas y gastos'!$A$10:$A$13,A384)/SUMIFS('Facturas y gastos'!$D$10:$D$13,'Facturas y gastos'!$A$10:$A$13,A384)))</f>
        <v>6.0446974677228624</v>
      </c>
      <c r="M384" s="8">
        <f>IF(J384="","",IF(SUMIFS('Facturas y gastos'!$D$10:$D$13,'Facturas y gastos'!$A$10:$A$13,A384)=0,"",J384*SUMIFS('Facturas y gastos'!$I$10:$I$13,'Facturas y gastos'!$A$10:$A$13,A384)/SUMIFS('Facturas y gastos'!$D$10:$D$13,'Facturas y gastos'!$A$10:$A$13,A384)))</f>
        <v>40.009978798195789</v>
      </c>
      <c r="N384" s="8">
        <f>IF(J384="","",IF(SUMIFS('Facturas y gastos'!$D$10:$D$13,'Facturas y gastos'!$A$10:$A$13,A384)=0,"",J384*SUMIFS('Facturas y gastos'!$J$10:$J$13,'Facturas y gastos'!$A$10:$A$13,A384)/SUMIFS('Facturas y gastos'!$D$10:$D$13,'Facturas y gastos'!$A$10:$A$13,A384)))</f>
        <v>0</v>
      </c>
      <c r="O384" s="8">
        <f t="shared" si="10"/>
        <v>245.52974334631588</v>
      </c>
      <c r="P384" s="8" t="str">
        <f>IF(OR(O384="",'Facturas y gastos'!$B$24="",'Facturas y gastos'!$B$45&lt;&gt;"OK",SUM($O$8:$O$657)=0),"",O384*'Facturas y gastos'!$B$43/SUM($O$8:$O$657))</f>
        <v/>
      </c>
      <c r="Q384" s="8" t="str">
        <f>IF(OR(O384="",'Facturas y gastos'!$B$5="",P384=""),"",O384*'Facturas y gastos'!$B$5+P384)</f>
        <v/>
      </c>
      <c r="R384" s="8" t="str">
        <f t="shared" si="11"/>
        <v/>
      </c>
    </row>
    <row r="385" spans="1:18">
      <c r="A385" s="25" t="s">
        <v>61</v>
      </c>
      <c r="B385" s="25">
        <v>140</v>
      </c>
      <c r="C385" s="25" t="s">
        <v>537</v>
      </c>
      <c r="D385" s="25" t="s">
        <v>538</v>
      </c>
      <c r="E385" s="25" t="s">
        <v>108</v>
      </c>
      <c r="F385" s="27">
        <v>60</v>
      </c>
      <c r="G385" s="27">
        <v>5</v>
      </c>
      <c r="H385" s="29">
        <v>5.3</v>
      </c>
      <c r="I385" s="29">
        <v>317.91000000000003</v>
      </c>
      <c r="J385" s="8">
        <f>IF(OR(A385="",I385=""),"",IF(SUMIFS($I$8:$I$657,$A$8:$A$657,A385)=0,"",I385*SUMIFS('Facturas y gastos'!$D$10:$D$13,'Facturas y gastos'!$A$10:$A$13,A385)/SUMIFS($I$8:$I$657,$A$8:$A$657,A385)))</f>
        <v>317.9099200916944</v>
      </c>
      <c r="K385" s="8">
        <f>IF(J385="","",IF(SUMIFS('Facturas y gastos'!$D$10:$D$13,'Facturas y gastos'!$A$10:$A$13,A385)=0,"",J385*SUMIFS('Facturas y gastos'!$G$10:$G$13,'Facturas y gastos'!$A$10:$A$13,A385)/SUMIFS('Facturas y gastos'!$D$10:$D$13,'Facturas y gastos'!$A$10:$A$13,A385)))</f>
        <v>3.1790720320930221</v>
      </c>
      <c r="L385" s="8">
        <f>IF(J385="","",IF(SUMIFS('Facturas y gastos'!$D$10:$D$13,'Facturas y gastos'!$A$10:$A$13,A385)=0,"",J385*SUMIFS('Facturas y gastos'!$H$10:$H$13,'Facturas y gastos'!$A$10:$A$13,A385)/SUMIFS('Facturas y gastos'!$D$10:$D$13,'Facturas y gastos'!$A$10:$A$13,A385)))</f>
        <v>9.5372960045847197</v>
      </c>
      <c r="M385" s="8">
        <f>IF(J385="","",IF(SUMIFS('Facturas y gastos'!$D$10:$D$13,'Facturas y gastos'!$A$10:$A$13,A385)=0,"",J385*SUMIFS('Facturas y gastos'!$I$10:$I$13,'Facturas y gastos'!$A$10:$A$13,A385)/SUMIFS('Facturas y gastos'!$D$10:$D$13,'Facturas y gastos'!$A$10:$A$13,A385)))</f>
        <v>63.127561465752251</v>
      </c>
      <c r="N385" s="8">
        <f>IF(J385="","",IF(SUMIFS('Facturas y gastos'!$D$10:$D$13,'Facturas y gastos'!$A$10:$A$13,A385)=0,"",J385*SUMIFS('Facturas y gastos'!$J$10:$J$13,'Facturas y gastos'!$A$10:$A$13,A385)/SUMIFS('Facturas y gastos'!$D$10:$D$13,'Facturas y gastos'!$A$10:$A$13,A385)))</f>
        <v>0</v>
      </c>
      <c r="O385" s="8">
        <f t="shared" si="10"/>
        <v>387.39570552993837</v>
      </c>
      <c r="P385" s="8" t="str">
        <f>IF(OR(O385="",'Facturas y gastos'!$B$24="",'Facturas y gastos'!$B$45&lt;&gt;"OK",SUM($O$8:$O$657)=0),"",O385*'Facturas y gastos'!$B$43/SUM($O$8:$O$657))</f>
        <v/>
      </c>
      <c r="Q385" s="8" t="str">
        <f>IF(OR(O385="",'Facturas y gastos'!$B$5="",P385=""),"",O385*'Facturas y gastos'!$B$5+P385)</f>
        <v/>
      </c>
      <c r="R385" s="8" t="str">
        <f t="shared" si="11"/>
        <v/>
      </c>
    </row>
    <row r="386" spans="1:18">
      <c r="A386" s="25" t="s">
        <v>62</v>
      </c>
      <c r="B386" s="25">
        <v>1</v>
      </c>
      <c r="C386" s="25" t="s">
        <v>539</v>
      </c>
      <c r="D386" s="25" t="s">
        <v>540</v>
      </c>
      <c r="E386" s="25" t="s">
        <v>108</v>
      </c>
      <c r="F386" s="27">
        <v>300</v>
      </c>
      <c r="G386" s="27">
        <v>15</v>
      </c>
      <c r="H386" s="29">
        <v>8.36</v>
      </c>
      <c r="I386" s="29">
        <v>2507.46</v>
      </c>
      <c r="J386" s="8">
        <f>IF(OR(A386="",I386=""),"",IF(SUMIFS($I$8:$I$657,$A$8:$A$657,A386)=0,"",I386*SUMIFS('Facturas y gastos'!$D$10:$D$13,'Facturas y gastos'!$A$10:$A$13,A386)/SUMIFS($I$8:$I$657,$A$8:$A$657,A386)))</f>
        <v>2507.4605478736694</v>
      </c>
      <c r="K386" s="8">
        <f>IF(J386="","",IF(SUMIFS('Facturas y gastos'!$D$10:$D$13,'Facturas y gastos'!$A$10:$A$13,A386)=0,"",J386*SUMIFS('Facturas y gastos'!$G$10:$G$13,'Facturas y gastos'!$A$10:$A$13,A386)/SUMIFS('Facturas y gastos'!$D$10:$D$13,'Facturas y gastos'!$A$10:$A$13,A386)))</f>
        <v>25.074534255159595</v>
      </c>
      <c r="L386" s="8">
        <f>IF(J386="","",IF(SUMIFS('Facturas y gastos'!$D$10:$D$13,'Facturas y gastos'!$A$10:$A$13,A386)=0,"",J386*SUMIFS('Facturas y gastos'!$H$10:$H$13,'Facturas y gastos'!$A$10:$A$13,A386)/SUMIFS('Facturas y gastos'!$D$10:$D$13,'Facturas y gastos'!$A$10:$A$13,A386)))</f>
        <v>75.223602765478788</v>
      </c>
      <c r="M386" s="8">
        <f>IF(J386="","",IF(SUMIFS('Facturas y gastos'!$D$10:$D$13,'Facturas y gastos'!$A$10:$A$13,A386)=0,"",J386*SUMIFS('Facturas y gastos'!$I$10:$I$13,'Facturas y gastos'!$A$10:$A$13,A386)/SUMIFS('Facturas y gastos'!$D$10:$D$13,'Facturas y gastos'!$A$10:$A$13,A386)))</f>
        <v>432.82019930465356</v>
      </c>
      <c r="N386" s="8">
        <f>IF(J386="","",IF(SUMIFS('Facturas y gastos'!$D$10:$D$13,'Facturas y gastos'!$A$10:$A$13,A386)=0,"",J386*SUMIFS('Facturas y gastos'!$J$10:$J$13,'Facturas y gastos'!$A$10:$A$13,A386)/SUMIFS('Facturas y gastos'!$D$10:$D$13,'Facturas y gastos'!$A$10:$A$13,A386)))</f>
        <v>0</v>
      </c>
      <c r="O386" s="8">
        <f t="shared" si="10"/>
        <v>2990.4298156886425</v>
      </c>
      <c r="P386" s="8" t="str">
        <f>IF(OR(O386="",'Facturas y gastos'!$B$24="",'Facturas y gastos'!$B$45&lt;&gt;"OK",SUM($O$8:$O$657)=0),"",O386*'Facturas y gastos'!$B$43/SUM($O$8:$O$657))</f>
        <v/>
      </c>
      <c r="Q386" s="8" t="str">
        <f>IF(OR(O386="",'Facturas y gastos'!$B$5="",P386=""),"",O386*'Facturas y gastos'!$B$5+P386)</f>
        <v/>
      </c>
      <c r="R386" s="8" t="str">
        <f t="shared" si="11"/>
        <v/>
      </c>
    </row>
    <row r="387" spans="1:18">
      <c r="A387" s="25" t="s">
        <v>62</v>
      </c>
      <c r="B387" s="25">
        <v>2</v>
      </c>
      <c r="C387" s="25" t="s">
        <v>541</v>
      </c>
      <c r="D387" s="25" t="s">
        <v>542</v>
      </c>
      <c r="E387" s="25" t="s">
        <v>108</v>
      </c>
      <c r="F387" s="27">
        <v>13</v>
      </c>
      <c r="G387" s="27">
        <v>13</v>
      </c>
      <c r="H387" s="29">
        <v>552.24</v>
      </c>
      <c r="I387" s="29">
        <v>7179.1</v>
      </c>
      <c r="J387" s="8">
        <f>IF(OR(A387="",I387=""),"",IF(SUMIFS($I$8:$I$657,$A$8:$A$657,A387)=0,"",I387*SUMIFS('Facturas y gastos'!$D$10:$D$13,'Facturas y gastos'!$A$10:$A$13,A387)/SUMIFS($I$8:$I$657,$A$8:$A$657,A387)))</f>
        <v>7179.1015686151968</v>
      </c>
      <c r="K387" s="8">
        <f>IF(J387="","",IF(SUMIFS('Facturas y gastos'!$D$10:$D$13,'Facturas y gastos'!$A$10:$A$13,A387)=0,"",J387*SUMIFS('Facturas y gastos'!$G$10:$G$13,'Facturas y gastos'!$A$10:$A$13,A387)/SUMIFS('Facturas y gastos'!$D$10:$D$13,'Facturas y gastos'!$A$10:$A$13,A387)))</f>
        <v>71.790811766176233</v>
      </c>
      <c r="L387" s="8">
        <f>IF(J387="","",IF(SUMIFS('Facturas y gastos'!$D$10:$D$13,'Facturas y gastos'!$A$10:$A$13,A387)=0,"",J387*SUMIFS('Facturas y gastos'!$H$10:$H$13,'Facturas y gastos'!$A$10:$A$13,A387)/SUMIFS('Facturas y gastos'!$D$10:$D$13,'Facturas y gastos'!$A$10:$A$13,A387)))</f>
        <v>215.37243529852873</v>
      </c>
      <c r="M387" s="8">
        <f>IF(J387="","",IF(SUMIFS('Facturas y gastos'!$D$10:$D$13,'Facturas y gastos'!$A$10:$A$13,A387)=0,"",J387*SUMIFS('Facturas y gastos'!$I$10:$I$13,'Facturas y gastos'!$A$10:$A$13,A387)/SUMIFS('Facturas y gastos'!$D$10:$D$13,'Facturas y gastos'!$A$10:$A$13,A387)))</f>
        <v>1239.2060064080938</v>
      </c>
      <c r="N387" s="8">
        <f>IF(J387="","",IF(SUMIFS('Facturas y gastos'!$D$10:$D$13,'Facturas y gastos'!$A$10:$A$13,A387)=0,"",J387*SUMIFS('Facturas y gastos'!$J$10:$J$13,'Facturas y gastos'!$A$10:$A$13,A387)/SUMIFS('Facturas y gastos'!$D$10:$D$13,'Facturas y gastos'!$A$10:$A$13,A387)))</f>
        <v>0</v>
      </c>
      <c r="O387" s="8">
        <f t="shared" si="10"/>
        <v>8561.8891985556438</v>
      </c>
      <c r="P387" s="8" t="str">
        <f>IF(OR(O387="",'Facturas y gastos'!$B$24="",'Facturas y gastos'!$B$45&lt;&gt;"OK",SUM($O$8:$O$657)=0),"",O387*'Facturas y gastos'!$B$43/SUM($O$8:$O$657))</f>
        <v/>
      </c>
      <c r="Q387" s="8" t="str">
        <f>IF(OR(O387="",'Facturas y gastos'!$B$5="",P387=""),"",O387*'Facturas y gastos'!$B$5+P387)</f>
        <v/>
      </c>
      <c r="R387" s="8" t="str">
        <f t="shared" si="11"/>
        <v/>
      </c>
    </row>
    <row r="388" spans="1:18">
      <c r="A388" s="25" t="s">
        <v>62</v>
      </c>
      <c r="B388" s="25">
        <v>3</v>
      </c>
      <c r="C388" s="25" t="s">
        <v>543</v>
      </c>
      <c r="D388" s="25" t="s">
        <v>544</v>
      </c>
      <c r="E388" s="25" t="s">
        <v>108</v>
      </c>
      <c r="F388" s="27">
        <v>60</v>
      </c>
      <c r="G388" s="27">
        <v>1</v>
      </c>
      <c r="H388" s="29">
        <v>1.87</v>
      </c>
      <c r="I388" s="29">
        <v>111.94</v>
      </c>
      <c r="J388" s="8">
        <f>IF(OR(A388="",I388=""),"",IF(SUMIFS($I$8:$I$657,$A$8:$A$657,A388)=0,"",I388*SUMIFS('Facturas y gastos'!$D$10:$D$13,'Facturas y gastos'!$A$10:$A$13,A388)/SUMIFS($I$8:$I$657,$A$8:$A$657,A388)))</f>
        <v>111.94002445860694</v>
      </c>
      <c r="K388" s="8">
        <f>IF(J388="","",IF(SUMIFS('Facturas y gastos'!$D$10:$D$13,'Facturas y gastos'!$A$10:$A$13,A388)=0,"",J388*SUMIFS('Facturas y gastos'!$G$10:$G$13,'Facturas y gastos'!$A$10:$A$13,A388)/SUMIFS('Facturas y gastos'!$D$10:$D$13,'Facturas y gastos'!$A$10:$A$13,A388)))</f>
        <v>1.1193970649671641</v>
      </c>
      <c r="L388" s="8">
        <f>IF(J388="","",IF(SUMIFS('Facturas y gastos'!$D$10:$D$13,'Facturas y gastos'!$A$10:$A$13,A388)=0,"",J388*SUMIFS('Facturas y gastos'!$H$10:$H$13,'Facturas y gastos'!$A$10:$A$13,A388)/SUMIFS('Facturas y gastos'!$D$10:$D$13,'Facturas y gastos'!$A$10:$A$13,A388)))</f>
        <v>3.3581911949014924</v>
      </c>
      <c r="M388" s="8">
        <f>IF(J388="","",IF(SUMIFS('Facturas y gastos'!$D$10:$D$13,'Facturas y gastos'!$A$10:$A$13,A388)=0,"",J388*SUMIFS('Facturas y gastos'!$I$10:$I$13,'Facturas y gastos'!$A$10:$A$13,A388)/SUMIFS('Facturas y gastos'!$D$10:$D$13,'Facturas y gastos'!$A$10:$A$13,A388)))</f>
        <v>19.322299502350155</v>
      </c>
      <c r="N388" s="8">
        <f>IF(J388="","",IF(SUMIFS('Facturas y gastos'!$D$10:$D$13,'Facturas y gastos'!$A$10:$A$13,A388)=0,"",J388*SUMIFS('Facturas y gastos'!$J$10:$J$13,'Facturas y gastos'!$A$10:$A$13,A388)/SUMIFS('Facturas y gastos'!$D$10:$D$13,'Facturas y gastos'!$A$10:$A$13,A388)))</f>
        <v>0</v>
      </c>
      <c r="O388" s="8">
        <f t="shared" si="10"/>
        <v>133.50111809089142</v>
      </c>
      <c r="P388" s="8" t="str">
        <f>IF(OR(O388="",'Facturas y gastos'!$B$24="",'Facturas y gastos'!$B$45&lt;&gt;"OK",SUM($O$8:$O$657)=0),"",O388*'Facturas y gastos'!$B$43/SUM($O$8:$O$657))</f>
        <v/>
      </c>
      <c r="Q388" s="8" t="str">
        <f>IF(OR(O388="",'Facturas y gastos'!$B$5="",P388=""),"",O388*'Facturas y gastos'!$B$5+P388)</f>
        <v/>
      </c>
      <c r="R388" s="8" t="str">
        <f t="shared" si="11"/>
        <v/>
      </c>
    </row>
    <row r="389" spans="1:18">
      <c r="A389" s="25" t="s">
        <v>62</v>
      </c>
      <c r="B389" s="25">
        <v>4</v>
      </c>
      <c r="C389" s="25" t="s">
        <v>545</v>
      </c>
      <c r="D389" s="25" t="s">
        <v>544</v>
      </c>
      <c r="E389" s="25" t="s">
        <v>108</v>
      </c>
      <c r="F389" s="27">
        <v>300</v>
      </c>
      <c r="G389" s="27">
        <v>5</v>
      </c>
      <c r="H389" s="29">
        <v>1.72</v>
      </c>
      <c r="I389" s="29">
        <v>514.92999999999995</v>
      </c>
      <c r="J389" s="8">
        <f>IF(OR(A389="",I389=""),"",IF(SUMIFS($I$8:$I$657,$A$8:$A$657,A389)=0,"",I389*SUMIFS('Facturas y gastos'!$D$10:$D$13,'Facturas y gastos'!$A$10:$A$13,A389)/SUMIFS($I$8:$I$657,$A$8:$A$657,A389)))</f>
        <v>514.93011251090297</v>
      </c>
      <c r="K389" s="8">
        <f>IF(J389="","",IF(SUMIFS('Facturas y gastos'!$D$10:$D$13,'Facturas y gastos'!$A$10:$A$13,A389)=0,"",J389*SUMIFS('Facturas y gastos'!$G$10:$G$13,'Facturas y gastos'!$A$10:$A$13,A389)/SUMIFS('Facturas y gastos'!$D$10:$D$13,'Facturas y gastos'!$A$10:$A$13,A389)))</f>
        <v>5.1492864986916373</v>
      </c>
      <c r="L389" s="8">
        <f>IF(J389="","",IF(SUMIFS('Facturas y gastos'!$D$10:$D$13,'Facturas y gastos'!$A$10:$A$13,A389)=0,"",J389*SUMIFS('Facturas y gastos'!$H$10:$H$13,'Facturas y gastos'!$A$10:$A$13,A389)/SUMIFS('Facturas y gastos'!$D$10:$D$13,'Facturas y gastos'!$A$10:$A$13,A389)))</f>
        <v>15.44785949607491</v>
      </c>
      <c r="M389" s="8">
        <f>IF(J389="","",IF(SUMIFS('Facturas y gastos'!$D$10:$D$13,'Facturas y gastos'!$A$10:$A$13,A389)=0,"",J389*SUMIFS('Facturas y gastos'!$I$10:$I$13,'Facturas y gastos'!$A$10:$A$13,A389)/SUMIFS('Facturas y gastos'!$D$10:$D$13,'Facturas y gastos'!$A$10:$A$13,A389)))</f>
        <v>88.88361338882585</v>
      </c>
      <c r="N389" s="8">
        <f>IF(J389="","",IF(SUMIFS('Facturas y gastos'!$D$10:$D$13,'Facturas y gastos'!$A$10:$A$13,A389)=0,"",J389*SUMIFS('Facturas y gastos'!$J$10:$J$13,'Facturas y gastos'!$A$10:$A$13,A389)/SUMIFS('Facturas y gastos'!$D$10:$D$13,'Facturas y gastos'!$A$10:$A$13,A389)))</f>
        <v>0</v>
      </c>
      <c r="O389" s="8">
        <f t="shared" si="10"/>
        <v>614.11229889711217</v>
      </c>
      <c r="P389" s="8" t="str">
        <f>IF(OR(O389="",'Facturas y gastos'!$B$24="",'Facturas y gastos'!$B$45&lt;&gt;"OK",SUM($O$8:$O$657)=0),"",O389*'Facturas y gastos'!$B$43/SUM($O$8:$O$657))</f>
        <v/>
      </c>
      <c r="Q389" s="8" t="str">
        <f>IF(OR(O389="",'Facturas y gastos'!$B$5="",P389=""),"",O389*'Facturas y gastos'!$B$5+P389)</f>
        <v/>
      </c>
      <c r="R389" s="8" t="str">
        <f t="shared" si="11"/>
        <v/>
      </c>
    </row>
    <row r="390" spans="1:18">
      <c r="A390" s="25" t="s">
        <v>62</v>
      </c>
      <c r="B390" s="25">
        <v>5</v>
      </c>
      <c r="C390" s="25" t="s">
        <v>546</v>
      </c>
      <c r="D390" s="25" t="s">
        <v>544</v>
      </c>
      <c r="E390" s="25" t="s">
        <v>108</v>
      </c>
      <c r="F390" s="27">
        <v>300</v>
      </c>
      <c r="G390" s="27">
        <v>5</v>
      </c>
      <c r="H390" s="29">
        <v>1.42</v>
      </c>
      <c r="I390" s="29">
        <v>425.37</v>
      </c>
      <c r="J390" s="8">
        <f>IF(OR(A390="",I390=""),"",IF(SUMIFS($I$8:$I$657,$A$8:$A$657,A390)=0,"",I390*SUMIFS('Facturas y gastos'!$D$10:$D$13,'Facturas y gastos'!$A$10:$A$13,A390)/SUMIFS($I$8:$I$657,$A$8:$A$657,A390)))</f>
        <v>425.37009294226937</v>
      </c>
      <c r="K390" s="8">
        <f>IF(J390="","",IF(SUMIFS('Facturas y gastos'!$D$10:$D$13,'Facturas y gastos'!$A$10:$A$13,A390)=0,"",J390*SUMIFS('Facturas y gastos'!$G$10:$G$13,'Facturas y gastos'!$A$10:$A$13,A390)/SUMIFS('Facturas y gastos'!$D$10:$D$13,'Facturas y gastos'!$A$10:$A$13,A390)))</f>
        <v>4.2536888469276626</v>
      </c>
      <c r="L390" s="8">
        <f>IF(J390="","",IF(SUMIFS('Facturas y gastos'!$D$10:$D$13,'Facturas y gastos'!$A$10:$A$13,A390)=0,"",J390*SUMIFS('Facturas y gastos'!$H$10:$H$13,'Facturas y gastos'!$A$10:$A$13,A390)/SUMIFS('Facturas y gastos'!$D$10:$D$13,'Facturas y gastos'!$A$10:$A$13,A390)))</f>
        <v>12.761066540782988</v>
      </c>
      <c r="M390" s="8">
        <f>IF(J390="","",IF(SUMIFS('Facturas y gastos'!$D$10:$D$13,'Facturas y gastos'!$A$10:$A$13,A390)=0,"",J390*SUMIFS('Facturas y gastos'!$I$10:$I$13,'Facturas y gastos'!$A$10:$A$13,A390)/SUMIFS('Facturas y gastos'!$D$10:$D$13,'Facturas y gastos'!$A$10:$A$13,A390)))</f>
        <v>73.424392882925545</v>
      </c>
      <c r="N390" s="8">
        <f>IF(J390="","",IF(SUMIFS('Facturas y gastos'!$D$10:$D$13,'Facturas y gastos'!$A$10:$A$13,A390)=0,"",J390*SUMIFS('Facturas y gastos'!$J$10:$J$13,'Facturas y gastos'!$A$10:$A$13,A390)/SUMIFS('Facturas y gastos'!$D$10:$D$13,'Facturas y gastos'!$A$10:$A$13,A390)))</f>
        <v>0</v>
      </c>
      <c r="O390" s="8">
        <f t="shared" si="10"/>
        <v>507.30186351905019</v>
      </c>
      <c r="P390" s="8" t="str">
        <f>IF(OR(O390="",'Facturas y gastos'!$B$24="",'Facturas y gastos'!$B$45&lt;&gt;"OK",SUM($O$8:$O$657)=0),"",O390*'Facturas y gastos'!$B$43/SUM($O$8:$O$657))</f>
        <v/>
      </c>
      <c r="Q390" s="8" t="str">
        <f>IF(OR(O390="",'Facturas y gastos'!$B$5="",P390=""),"",O390*'Facturas y gastos'!$B$5+P390)</f>
        <v/>
      </c>
      <c r="R390" s="8" t="str">
        <f t="shared" si="11"/>
        <v/>
      </c>
    </row>
    <row r="391" spans="1:18">
      <c r="A391" s="25" t="s">
        <v>62</v>
      </c>
      <c r="B391" s="25">
        <v>6</v>
      </c>
      <c r="C391" s="25" t="s">
        <v>547</v>
      </c>
      <c r="D391" s="25" t="s">
        <v>548</v>
      </c>
      <c r="E391" s="25" t="s">
        <v>108</v>
      </c>
      <c r="F391" s="27">
        <v>102</v>
      </c>
      <c r="G391" s="27">
        <v>17</v>
      </c>
      <c r="H391" s="29">
        <v>5.22</v>
      </c>
      <c r="I391" s="29">
        <v>532.44000000000005</v>
      </c>
      <c r="J391" s="8">
        <f>IF(OR(A391="",I391=""),"",IF(SUMIFS($I$8:$I$657,$A$8:$A$657,A391)=0,"",I391*SUMIFS('Facturas y gastos'!$D$10:$D$13,'Facturas y gastos'!$A$10:$A$13,A391)/SUMIFS($I$8:$I$657,$A$8:$A$657,A391)))</f>
        <v>532.44011633679372</v>
      </c>
      <c r="K391" s="8">
        <f>IF(J391="","",IF(SUMIFS('Facturas y gastos'!$D$10:$D$13,'Facturas y gastos'!$A$10:$A$13,A391)=0,"",J391*SUMIFS('Facturas y gastos'!$G$10:$G$13,'Facturas y gastos'!$A$10:$A$13,A391)/SUMIFS('Facturas y gastos'!$D$10:$D$13,'Facturas y gastos'!$A$10:$A$13,A391)))</f>
        <v>5.3243860395847502</v>
      </c>
      <c r="L391" s="8">
        <f>IF(J391="","",IF(SUMIFS('Facturas y gastos'!$D$10:$D$13,'Facturas y gastos'!$A$10:$A$13,A391)=0,"",J391*SUMIFS('Facturas y gastos'!$H$10:$H$13,'Facturas y gastos'!$A$10:$A$13,A391)/SUMIFS('Facturas y gastos'!$D$10:$D$13,'Facturas y gastos'!$A$10:$A$13,A391)))</f>
        <v>15.973158118754251</v>
      </c>
      <c r="M391" s="8">
        <f>IF(J391="","",IF(SUMIFS('Facturas y gastos'!$D$10:$D$13,'Facturas y gastos'!$A$10:$A$13,A391)=0,"",J391*SUMIFS('Facturas y gastos'!$I$10:$I$13,'Facturas y gastos'!$A$10:$A$13,A391)/SUMIFS('Facturas y gastos'!$D$10:$D$13,'Facturas y gastos'!$A$10:$A$13,A391)))</f>
        <v>91.906067062991951</v>
      </c>
      <c r="N391" s="8">
        <f>IF(J391="","",IF(SUMIFS('Facturas y gastos'!$D$10:$D$13,'Facturas y gastos'!$A$10:$A$13,A391)=0,"",J391*SUMIFS('Facturas y gastos'!$J$10:$J$13,'Facturas y gastos'!$A$10:$A$13,A391)/SUMIFS('Facturas y gastos'!$D$10:$D$13,'Facturas y gastos'!$A$10:$A$13,A391)))</f>
        <v>0</v>
      </c>
      <c r="O391" s="8">
        <f t="shared" si="10"/>
        <v>634.99495547895515</v>
      </c>
      <c r="P391" s="8" t="str">
        <f>IF(OR(O391="",'Facturas y gastos'!$B$24="",'Facturas y gastos'!$B$45&lt;&gt;"OK",SUM($O$8:$O$657)=0),"",O391*'Facturas y gastos'!$B$43/SUM($O$8:$O$657))</f>
        <v/>
      </c>
      <c r="Q391" s="8" t="str">
        <f>IF(OR(O391="",'Facturas y gastos'!$B$5="",P391=""),"",O391*'Facturas y gastos'!$B$5+P391)</f>
        <v/>
      </c>
      <c r="R391" s="8" t="str">
        <f t="shared" si="11"/>
        <v/>
      </c>
    </row>
    <row r="392" spans="1:18">
      <c r="A392" s="25" t="s">
        <v>62</v>
      </c>
      <c r="B392" s="25">
        <v>7</v>
      </c>
      <c r="C392" s="25" t="s">
        <v>549</v>
      </c>
      <c r="D392" s="25" t="s">
        <v>548</v>
      </c>
      <c r="E392" s="25" t="s">
        <v>108</v>
      </c>
      <c r="F392" s="27">
        <v>15</v>
      </c>
      <c r="G392" s="27">
        <v>15</v>
      </c>
      <c r="H392" s="29">
        <v>42.24</v>
      </c>
      <c r="I392" s="29">
        <v>633.6</v>
      </c>
      <c r="J392" s="8">
        <f>IF(OR(A392="",I392=""),"",IF(SUMIFS($I$8:$I$657,$A$8:$A$657,A392)=0,"",I392*SUMIFS('Facturas y gastos'!$D$10:$D$13,'Facturas y gastos'!$A$10:$A$13,A392)/SUMIFS($I$8:$I$657,$A$8:$A$657,A392)))</f>
        <v>633.60013843999798</v>
      </c>
      <c r="K392" s="8">
        <f>IF(J392="","",IF(SUMIFS('Facturas y gastos'!$D$10:$D$13,'Facturas y gastos'!$A$10:$A$13,A392)=0,"",J392*SUMIFS('Facturas y gastos'!$G$10:$G$13,'Facturas y gastos'!$A$10:$A$13,A392)/SUMIFS('Facturas y gastos'!$D$10:$D$13,'Facturas y gastos'!$A$10:$A$13,A392)))</f>
        <v>6.335983387200244</v>
      </c>
      <c r="L392" s="8">
        <f>IF(J392="","",IF(SUMIFS('Facturas y gastos'!$D$10:$D$13,'Facturas y gastos'!$A$10:$A$13,A392)=0,"",J392*SUMIFS('Facturas y gastos'!$H$10:$H$13,'Facturas y gastos'!$A$10:$A$13,A392)/SUMIFS('Facturas y gastos'!$D$10:$D$13,'Facturas y gastos'!$A$10:$A$13,A392)))</f>
        <v>19.007950161600732</v>
      </c>
      <c r="M392" s="8">
        <f>IF(J392="","",IF(SUMIFS('Facturas y gastos'!$D$10:$D$13,'Facturas y gastos'!$A$10:$A$13,A392)=0,"",J392*SUMIFS('Facturas y gastos'!$I$10:$I$13,'Facturas y gastos'!$A$10:$A$13,A392)/SUMIFS('Facturas y gastos'!$D$10:$D$13,'Facturas y gastos'!$A$10:$A$13,A392)))</f>
        <v>109.36759839815134</v>
      </c>
      <c r="N392" s="8">
        <f>IF(J392="","",IF(SUMIFS('Facturas y gastos'!$D$10:$D$13,'Facturas y gastos'!$A$10:$A$13,A392)=0,"",J392*SUMIFS('Facturas y gastos'!$J$10:$J$13,'Facturas y gastos'!$A$10:$A$13,A392)/SUMIFS('Facturas y gastos'!$D$10:$D$13,'Facturas y gastos'!$A$10:$A$13,A392)))</f>
        <v>0</v>
      </c>
      <c r="O392" s="8">
        <f t="shared" ref="O392:O455" si="12">IF(J392="","",J392-K392+L392+M392+N392)</f>
        <v>755.63970361254985</v>
      </c>
      <c r="P392" s="8" t="str">
        <f>IF(OR(O392="",'Facturas y gastos'!$B$24="",'Facturas y gastos'!$B$45&lt;&gt;"OK",SUM($O$8:$O$657)=0),"",O392*'Facturas y gastos'!$B$43/SUM($O$8:$O$657))</f>
        <v/>
      </c>
      <c r="Q392" s="8" t="str">
        <f>IF(OR(O392="",'Facturas y gastos'!$B$5="",P392=""),"",O392*'Facturas y gastos'!$B$5+P392)</f>
        <v/>
      </c>
      <c r="R392" s="8" t="str">
        <f t="shared" ref="R392:R455" si="13">IF(OR(Q392="",F392="",F392=0),"",Q392/F392)</f>
        <v/>
      </c>
    </row>
    <row r="393" spans="1:18">
      <c r="A393" s="25" t="s">
        <v>62</v>
      </c>
      <c r="B393" s="25">
        <v>8</v>
      </c>
      <c r="C393" s="25" t="s">
        <v>550</v>
      </c>
      <c r="D393" s="25" t="s">
        <v>551</v>
      </c>
      <c r="E393" s="25" t="s">
        <v>108</v>
      </c>
      <c r="F393" s="27">
        <v>144</v>
      </c>
      <c r="G393" s="27">
        <v>3</v>
      </c>
      <c r="H393" s="29">
        <v>1.69</v>
      </c>
      <c r="I393" s="29">
        <v>243.36</v>
      </c>
      <c r="J393" s="8">
        <f>IF(OR(A393="",I393=""),"",IF(SUMIFS($I$8:$I$657,$A$8:$A$657,A393)=0,"",I393*SUMIFS('Facturas y gastos'!$D$10:$D$13,'Facturas y gastos'!$A$10:$A$13,A393)/SUMIFS($I$8:$I$657,$A$8:$A$657,A393)))</f>
        <v>243.36005317354466</v>
      </c>
      <c r="K393" s="8">
        <f>IF(J393="","",IF(SUMIFS('Facturas y gastos'!$D$10:$D$13,'Facturas y gastos'!$A$10:$A$13,A393)=0,"",J393*SUMIFS('Facturas y gastos'!$G$10:$G$13,'Facturas y gastos'!$A$10:$A$13,A393)/SUMIFS('Facturas y gastos'!$D$10:$D$13,'Facturas y gastos'!$A$10:$A$13,A393)))</f>
        <v>2.4335936191746388</v>
      </c>
      <c r="L393" s="8">
        <f>IF(J393="","",IF(SUMIFS('Facturas y gastos'!$D$10:$D$13,'Facturas y gastos'!$A$10:$A$13,A393)=0,"",J393*SUMIFS('Facturas y gastos'!$H$10:$H$13,'Facturas y gastos'!$A$10:$A$13,A393)/SUMIFS('Facturas y gastos'!$D$10:$D$13,'Facturas y gastos'!$A$10:$A$13,A393)))</f>
        <v>7.3007808575239164</v>
      </c>
      <c r="M393" s="8">
        <f>IF(J393="","",IF(SUMIFS('Facturas y gastos'!$D$10:$D$13,'Facturas y gastos'!$A$10:$A$13,A393)=0,"",J393*SUMIFS('Facturas y gastos'!$I$10:$I$13,'Facturas y gastos'!$A$10:$A$13,A393)/SUMIFS('Facturas y gastos'!$D$10:$D$13,'Facturas y gastos'!$A$10:$A$13,A393)))</f>
        <v>42.0071002938354</v>
      </c>
      <c r="N393" s="8">
        <f>IF(J393="","",IF(SUMIFS('Facturas y gastos'!$D$10:$D$13,'Facturas y gastos'!$A$10:$A$13,A393)=0,"",J393*SUMIFS('Facturas y gastos'!$J$10:$J$13,'Facturas y gastos'!$A$10:$A$13,A393)/SUMIFS('Facturas y gastos'!$D$10:$D$13,'Facturas y gastos'!$A$10:$A$13,A393)))</f>
        <v>0</v>
      </c>
      <c r="O393" s="8">
        <f t="shared" si="12"/>
        <v>290.23434070572932</v>
      </c>
      <c r="P393" s="8" t="str">
        <f>IF(OR(O393="",'Facturas y gastos'!$B$24="",'Facturas y gastos'!$B$45&lt;&gt;"OK",SUM($O$8:$O$657)=0),"",O393*'Facturas y gastos'!$B$43/SUM($O$8:$O$657))</f>
        <v/>
      </c>
      <c r="Q393" s="8" t="str">
        <f>IF(OR(O393="",'Facturas y gastos'!$B$5="",P393=""),"",O393*'Facturas y gastos'!$B$5+P393)</f>
        <v/>
      </c>
      <c r="R393" s="8" t="str">
        <f t="shared" si="13"/>
        <v/>
      </c>
    </row>
    <row r="394" spans="1:18">
      <c r="A394" s="25" t="s">
        <v>62</v>
      </c>
      <c r="B394" s="25">
        <v>9</v>
      </c>
      <c r="C394" s="25" t="s">
        <v>552</v>
      </c>
      <c r="D394" s="25" t="s">
        <v>551</v>
      </c>
      <c r="E394" s="25" t="s">
        <v>108</v>
      </c>
      <c r="F394" s="27">
        <v>144</v>
      </c>
      <c r="G394" s="27">
        <v>3</v>
      </c>
      <c r="H394" s="29">
        <v>2.09</v>
      </c>
      <c r="I394" s="29">
        <v>300.95999999999998</v>
      </c>
      <c r="J394" s="8">
        <f>IF(OR(A394="",I394=""),"",IF(SUMIFS($I$8:$I$657,$A$8:$A$657,A394)=0,"",I394*SUMIFS('Facturas y gastos'!$D$10:$D$13,'Facturas y gastos'!$A$10:$A$13,A394)/SUMIFS($I$8:$I$657,$A$8:$A$657,A394)))</f>
        <v>300.96006575899901</v>
      </c>
      <c r="K394" s="8">
        <f>IF(J394="","",IF(SUMIFS('Facturas y gastos'!$D$10:$D$13,'Facturas y gastos'!$A$10:$A$13,A394)=0,"",J394*SUMIFS('Facturas y gastos'!$G$10:$G$13,'Facturas y gastos'!$A$10:$A$13,A394)/SUMIFS('Facturas y gastos'!$D$10:$D$13,'Facturas y gastos'!$A$10:$A$13,A394)))</f>
        <v>3.0095921089201156</v>
      </c>
      <c r="L394" s="8">
        <f>IF(J394="","",IF(SUMIFS('Facturas y gastos'!$D$10:$D$13,'Facturas y gastos'!$A$10:$A$13,A394)=0,"",J394*SUMIFS('Facturas y gastos'!$H$10:$H$13,'Facturas y gastos'!$A$10:$A$13,A394)/SUMIFS('Facturas y gastos'!$D$10:$D$13,'Facturas y gastos'!$A$10:$A$13,A394)))</f>
        <v>9.0287763267603456</v>
      </c>
      <c r="M394" s="8">
        <f>IF(J394="","",IF(SUMIFS('Facturas y gastos'!$D$10:$D$13,'Facturas y gastos'!$A$10:$A$13,A394)=0,"",J394*SUMIFS('Facturas y gastos'!$I$10:$I$13,'Facturas y gastos'!$A$10:$A$13,A394)/SUMIFS('Facturas y gastos'!$D$10:$D$13,'Facturas y gastos'!$A$10:$A$13,A394)))</f>
        <v>51.949609239121884</v>
      </c>
      <c r="N394" s="8">
        <f>IF(J394="","",IF(SUMIFS('Facturas y gastos'!$D$10:$D$13,'Facturas y gastos'!$A$10:$A$13,A394)=0,"",J394*SUMIFS('Facturas y gastos'!$J$10:$J$13,'Facturas y gastos'!$A$10:$A$13,A394)/SUMIFS('Facturas y gastos'!$D$10:$D$13,'Facturas y gastos'!$A$10:$A$13,A394)))</f>
        <v>0</v>
      </c>
      <c r="O394" s="8">
        <f t="shared" si="12"/>
        <v>358.9288592159611</v>
      </c>
      <c r="P394" s="8" t="str">
        <f>IF(OR(O394="",'Facturas y gastos'!$B$24="",'Facturas y gastos'!$B$45&lt;&gt;"OK",SUM($O$8:$O$657)=0),"",O394*'Facturas y gastos'!$B$43/SUM($O$8:$O$657))</f>
        <v/>
      </c>
      <c r="Q394" s="8" t="str">
        <f>IF(OR(O394="",'Facturas y gastos'!$B$5="",P394=""),"",O394*'Facturas y gastos'!$B$5+P394)</f>
        <v/>
      </c>
      <c r="R394" s="8" t="str">
        <f t="shared" si="13"/>
        <v/>
      </c>
    </row>
    <row r="395" spans="1:18">
      <c r="A395" s="25" t="s">
        <v>62</v>
      </c>
      <c r="B395" s="25">
        <v>10</v>
      </c>
      <c r="C395" s="25" t="s">
        <v>553</v>
      </c>
      <c r="D395" s="25" t="s">
        <v>551</v>
      </c>
      <c r="E395" s="25" t="s">
        <v>108</v>
      </c>
      <c r="F395" s="27">
        <v>240</v>
      </c>
      <c r="G395" s="27">
        <v>20</v>
      </c>
      <c r="H395" s="29">
        <v>4.03</v>
      </c>
      <c r="I395" s="29">
        <v>967.2</v>
      </c>
      <c r="J395" s="8">
        <f>IF(OR(A395="",I395=""),"",IF(SUMIFS($I$8:$I$657,$A$8:$A$657,A395)=0,"",I395*SUMIFS('Facturas y gastos'!$D$10:$D$13,'Facturas y gastos'!$A$10:$A$13,A395)/SUMIFS($I$8:$I$657,$A$8:$A$657,A395)))</f>
        <v>967.20021133075443</v>
      </c>
      <c r="K395" s="8">
        <f>IF(J395="","",IF(SUMIFS('Facturas y gastos'!$D$10:$D$13,'Facturas y gastos'!$A$10:$A$13,A395)=0,"",J395*SUMIFS('Facturas y gastos'!$G$10:$G$13,'Facturas y gastos'!$A$10:$A$13,A395)/SUMIFS('Facturas y gastos'!$D$10:$D$13,'Facturas y gastos'!$A$10:$A$13,A395)))</f>
        <v>9.6719746403094629</v>
      </c>
      <c r="L395" s="8">
        <f>IF(J395="","",IF(SUMIFS('Facturas y gastos'!$D$10:$D$13,'Facturas y gastos'!$A$10:$A$13,A395)=0,"",J395*SUMIFS('Facturas y gastos'!$H$10:$H$13,'Facturas y gastos'!$A$10:$A$13,A395)/SUMIFS('Facturas y gastos'!$D$10:$D$13,'Facturas y gastos'!$A$10:$A$13,A395)))</f>
        <v>29.015923920928387</v>
      </c>
      <c r="M395" s="8">
        <f>IF(J395="","",IF(SUMIFS('Facturas y gastos'!$D$10:$D$13,'Facturas y gastos'!$A$10:$A$13,A395)=0,"",J395*SUMIFS('Facturas y gastos'!$I$10:$I$13,'Facturas y gastos'!$A$10:$A$13,A395)/SUMIFS('Facturas y gastos'!$D$10:$D$13,'Facturas y gastos'!$A$10:$A$13,A395)))</f>
        <v>166.95129603960223</v>
      </c>
      <c r="N395" s="8">
        <f>IF(J395="","",IF(SUMIFS('Facturas y gastos'!$D$10:$D$13,'Facturas y gastos'!$A$10:$A$13,A395)=0,"",J395*SUMIFS('Facturas y gastos'!$J$10:$J$13,'Facturas y gastos'!$A$10:$A$13,A395)/SUMIFS('Facturas y gastos'!$D$10:$D$13,'Facturas y gastos'!$A$10:$A$13,A395)))</f>
        <v>0</v>
      </c>
      <c r="O395" s="8">
        <f t="shared" si="12"/>
        <v>1153.4954566509755</v>
      </c>
      <c r="P395" s="8" t="str">
        <f>IF(OR(O395="",'Facturas y gastos'!$B$24="",'Facturas y gastos'!$B$45&lt;&gt;"OK",SUM($O$8:$O$657)=0),"",O395*'Facturas y gastos'!$B$43/SUM($O$8:$O$657))</f>
        <v/>
      </c>
      <c r="Q395" s="8" t="str">
        <f>IF(OR(O395="",'Facturas y gastos'!$B$5="",P395=""),"",O395*'Facturas y gastos'!$B$5+P395)</f>
        <v/>
      </c>
      <c r="R395" s="8" t="str">
        <f t="shared" si="13"/>
        <v/>
      </c>
    </row>
    <row r="396" spans="1:18">
      <c r="A396" s="25" t="s">
        <v>62</v>
      </c>
      <c r="B396" s="25">
        <v>11</v>
      </c>
      <c r="C396" s="25" t="s">
        <v>554</v>
      </c>
      <c r="D396" s="25" t="s">
        <v>551</v>
      </c>
      <c r="E396" s="25" t="s">
        <v>108</v>
      </c>
      <c r="F396" s="27">
        <v>36</v>
      </c>
      <c r="G396" s="27">
        <v>3</v>
      </c>
      <c r="H396" s="29">
        <v>4.55</v>
      </c>
      <c r="I396" s="29">
        <v>163.80000000000001</v>
      </c>
      <c r="J396" s="8">
        <f>IF(OR(A396="",I396=""),"",IF(SUMIFS($I$8:$I$657,$A$8:$A$657,A396)=0,"",I396*SUMIFS('Facturas y gastos'!$D$10:$D$13,'Facturas y gastos'!$A$10:$A$13,A396)/SUMIFS($I$8:$I$657,$A$8:$A$657,A396)))</f>
        <v>163.80003578988584</v>
      </c>
      <c r="K396" s="8">
        <f>IF(J396="","",IF(SUMIFS('Facturas y gastos'!$D$10:$D$13,'Facturas y gastos'!$A$10:$A$13,A396)=0,"",J396*SUMIFS('Facturas y gastos'!$G$10:$G$13,'Facturas y gastos'!$A$10:$A$13,A396)/SUMIFS('Facturas y gastos'!$D$10:$D$13,'Facturas y gastos'!$A$10:$A$13,A396)))</f>
        <v>1.6379957052136993</v>
      </c>
      <c r="L396" s="8">
        <f>IF(J396="","",IF(SUMIFS('Facturas y gastos'!$D$10:$D$13,'Facturas y gastos'!$A$10:$A$13,A396)=0,"",J396*SUMIFS('Facturas y gastos'!$H$10:$H$13,'Facturas y gastos'!$A$10:$A$13,A396)/SUMIFS('Facturas y gastos'!$D$10:$D$13,'Facturas y gastos'!$A$10:$A$13,A396)))</f>
        <v>4.9139871156410981</v>
      </c>
      <c r="M396" s="8">
        <f>IF(J396="","",IF(SUMIFS('Facturas y gastos'!$D$10:$D$13,'Facturas y gastos'!$A$10:$A$13,A396)=0,"",J396*SUMIFS('Facturas y gastos'!$I$10:$I$13,'Facturas y gastos'!$A$10:$A$13,A396)/SUMIFS('Facturas y gastos'!$D$10:$D$13,'Facturas y gastos'!$A$10:$A$13,A396)))</f>
        <v>28.274009813158447</v>
      </c>
      <c r="N396" s="8">
        <f>IF(J396="","",IF(SUMIFS('Facturas y gastos'!$D$10:$D$13,'Facturas y gastos'!$A$10:$A$13,A396)=0,"",J396*SUMIFS('Facturas y gastos'!$J$10:$J$13,'Facturas y gastos'!$A$10:$A$13,A396)/SUMIFS('Facturas y gastos'!$D$10:$D$13,'Facturas y gastos'!$A$10:$A$13,A396)))</f>
        <v>0</v>
      </c>
      <c r="O396" s="8">
        <f t="shared" si="12"/>
        <v>195.35003701347168</v>
      </c>
      <c r="P396" s="8" t="str">
        <f>IF(OR(O396="",'Facturas y gastos'!$B$24="",'Facturas y gastos'!$B$45&lt;&gt;"OK",SUM($O$8:$O$657)=0),"",O396*'Facturas y gastos'!$B$43/SUM($O$8:$O$657))</f>
        <v/>
      </c>
      <c r="Q396" s="8" t="str">
        <f>IF(OR(O396="",'Facturas y gastos'!$B$5="",P396=""),"",O396*'Facturas y gastos'!$B$5+P396)</f>
        <v/>
      </c>
      <c r="R396" s="8" t="str">
        <f t="shared" si="13"/>
        <v/>
      </c>
    </row>
    <row r="397" spans="1:18">
      <c r="A397" s="25" t="s">
        <v>62</v>
      </c>
      <c r="B397" s="25">
        <v>12</v>
      </c>
      <c r="C397" s="25" t="s">
        <v>555</v>
      </c>
      <c r="D397" s="25" t="s">
        <v>556</v>
      </c>
      <c r="E397" s="25" t="s">
        <v>108</v>
      </c>
      <c r="F397" s="27">
        <v>108</v>
      </c>
      <c r="G397" s="27">
        <v>9</v>
      </c>
      <c r="H397" s="29">
        <v>2.39</v>
      </c>
      <c r="I397" s="29">
        <v>258.12</v>
      </c>
      <c r="J397" s="8">
        <f>IF(OR(A397="",I397=""),"",IF(SUMIFS($I$8:$I$657,$A$8:$A$657,A397)=0,"",I397*SUMIFS('Facturas y gastos'!$D$10:$D$13,'Facturas y gastos'!$A$10:$A$13,A397)/SUMIFS($I$8:$I$657,$A$8:$A$657,A397)))</f>
        <v>258.12005639856733</v>
      </c>
      <c r="K397" s="8">
        <f>IF(J397="","",IF(SUMIFS('Facturas y gastos'!$D$10:$D$13,'Facturas y gastos'!$A$10:$A$13,A397)=0,"",J397*SUMIFS('Facturas y gastos'!$G$10:$G$13,'Facturas y gastos'!$A$10:$A$13,A397)/SUMIFS('Facturas y gastos'!$D$10:$D$13,'Facturas y gastos'!$A$10:$A$13,A397)))</f>
        <v>2.5811932321719171</v>
      </c>
      <c r="L397" s="8">
        <f>IF(J397="","",IF(SUMIFS('Facturas y gastos'!$D$10:$D$13,'Facturas y gastos'!$A$10:$A$13,A397)=0,"",J397*SUMIFS('Facturas y gastos'!$H$10:$H$13,'Facturas y gastos'!$A$10:$A$13,A397)/SUMIFS('Facturas y gastos'!$D$10:$D$13,'Facturas y gastos'!$A$10:$A$13,A397)))</f>
        <v>7.7435796965157513</v>
      </c>
      <c r="M397" s="8">
        <f>IF(J397="","",IF(SUMIFS('Facturas y gastos'!$D$10:$D$13,'Facturas y gastos'!$A$10:$A$13,A397)=0,"",J397*SUMIFS('Facturas y gastos'!$I$10:$I$13,'Facturas y gastos'!$A$10:$A$13,A397)/SUMIFS('Facturas y gastos'!$D$10:$D$13,'Facturas y gastos'!$A$10:$A$13,A397)))</f>
        <v>44.554868211065063</v>
      </c>
      <c r="N397" s="8">
        <f>IF(J397="","",IF(SUMIFS('Facturas y gastos'!$D$10:$D$13,'Facturas y gastos'!$A$10:$A$13,A397)=0,"",J397*SUMIFS('Facturas y gastos'!$J$10:$J$13,'Facturas y gastos'!$A$10:$A$13,A397)/SUMIFS('Facturas y gastos'!$D$10:$D$13,'Facturas y gastos'!$A$10:$A$13,A397)))</f>
        <v>0</v>
      </c>
      <c r="O397" s="8">
        <f t="shared" si="12"/>
        <v>307.8373110739762</v>
      </c>
      <c r="P397" s="8" t="str">
        <f>IF(OR(O397="",'Facturas y gastos'!$B$24="",'Facturas y gastos'!$B$45&lt;&gt;"OK",SUM($O$8:$O$657)=0),"",O397*'Facturas y gastos'!$B$43/SUM($O$8:$O$657))</f>
        <v/>
      </c>
      <c r="Q397" s="8" t="str">
        <f>IF(OR(O397="",'Facturas y gastos'!$B$5="",P397=""),"",O397*'Facturas y gastos'!$B$5+P397)</f>
        <v/>
      </c>
      <c r="R397" s="8" t="str">
        <f t="shared" si="13"/>
        <v/>
      </c>
    </row>
    <row r="398" spans="1:18">
      <c r="A398" s="25" t="s">
        <v>62</v>
      </c>
      <c r="B398" s="25">
        <v>13</v>
      </c>
      <c r="C398" s="25" t="s">
        <v>557</v>
      </c>
      <c r="D398" s="25" t="s">
        <v>558</v>
      </c>
      <c r="E398" s="25" t="s">
        <v>108</v>
      </c>
      <c r="F398" s="27">
        <v>100</v>
      </c>
      <c r="G398" s="27">
        <v>10</v>
      </c>
      <c r="H398" s="29">
        <v>6.42</v>
      </c>
      <c r="I398" s="29">
        <v>642</v>
      </c>
      <c r="J398" s="8">
        <f>IF(OR(A398="",I398=""),"",IF(SUMIFS($I$8:$I$657,$A$8:$A$657,A398)=0,"",I398*SUMIFS('Facturas y gastos'!$D$10:$D$13,'Facturas y gastos'!$A$10:$A$13,A398)/SUMIFS($I$8:$I$657,$A$8:$A$657,A398)))</f>
        <v>642.00014027537668</v>
      </c>
      <c r="K398" s="8">
        <f>IF(J398="","",IF(SUMIFS('Facturas y gastos'!$D$10:$D$13,'Facturas y gastos'!$A$10:$A$13,A398)=0,"",J398*SUMIFS('Facturas y gastos'!$G$10:$G$13,'Facturas y gastos'!$A$10:$A$13,A398)/SUMIFS('Facturas y gastos'!$D$10:$D$13,'Facturas y gastos'!$A$10:$A$13,A398)))</f>
        <v>6.4199831669547915</v>
      </c>
      <c r="L398" s="8">
        <f>IF(J398="","",IF(SUMIFS('Facturas y gastos'!$D$10:$D$13,'Facturas y gastos'!$A$10:$A$13,A398)=0,"",J398*SUMIFS('Facturas y gastos'!$H$10:$H$13,'Facturas y gastos'!$A$10:$A$13,A398)/SUMIFS('Facturas y gastos'!$D$10:$D$13,'Facturas y gastos'!$A$10:$A$13,A398)))</f>
        <v>19.259949500864376</v>
      </c>
      <c r="M398" s="8">
        <f>IF(J398="","",IF(SUMIFS('Facturas y gastos'!$D$10:$D$13,'Facturas y gastos'!$A$10:$A$13,A398)=0,"",J398*SUMIFS('Facturas y gastos'!$I$10:$I$13,'Facturas y gastos'!$A$10:$A$13,A398)/SUMIFS('Facturas y gastos'!$D$10:$D$13,'Facturas y gastos'!$A$10:$A$13,A398)))</f>
        <v>110.81754761933895</v>
      </c>
      <c r="N398" s="8">
        <f>IF(J398="","",IF(SUMIFS('Facturas y gastos'!$D$10:$D$13,'Facturas y gastos'!$A$10:$A$13,A398)=0,"",J398*SUMIFS('Facturas y gastos'!$J$10:$J$13,'Facturas y gastos'!$A$10:$A$13,A398)/SUMIFS('Facturas y gastos'!$D$10:$D$13,'Facturas y gastos'!$A$10:$A$13,A398)))</f>
        <v>0</v>
      </c>
      <c r="O398" s="8">
        <f t="shared" si="12"/>
        <v>765.65765422862523</v>
      </c>
      <c r="P398" s="8" t="str">
        <f>IF(OR(O398="",'Facturas y gastos'!$B$24="",'Facturas y gastos'!$B$45&lt;&gt;"OK",SUM($O$8:$O$657)=0),"",O398*'Facturas y gastos'!$B$43/SUM($O$8:$O$657))</f>
        <v/>
      </c>
      <c r="Q398" s="8" t="str">
        <f>IF(OR(O398="",'Facturas y gastos'!$B$5="",P398=""),"",O398*'Facturas y gastos'!$B$5+P398)</f>
        <v/>
      </c>
      <c r="R398" s="8" t="str">
        <f t="shared" si="13"/>
        <v/>
      </c>
    </row>
    <row r="399" spans="1:18">
      <c r="A399" s="25" t="s">
        <v>62</v>
      </c>
      <c r="B399" s="25">
        <v>14</v>
      </c>
      <c r="C399" s="25" t="s">
        <v>559</v>
      </c>
      <c r="D399" s="25" t="s">
        <v>558</v>
      </c>
      <c r="E399" s="25" t="s">
        <v>108</v>
      </c>
      <c r="F399" s="27">
        <v>48</v>
      </c>
      <c r="G399" s="27">
        <v>3</v>
      </c>
      <c r="H399" s="29">
        <v>3.28</v>
      </c>
      <c r="I399" s="29">
        <v>157.44</v>
      </c>
      <c r="J399" s="8">
        <f>IF(OR(A399="",I399=""),"",IF(SUMIFS($I$8:$I$657,$A$8:$A$657,A399)=0,"",I399*SUMIFS('Facturas y gastos'!$D$10:$D$13,'Facturas y gastos'!$A$10:$A$13,A399)/SUMIFS($I$8:$I$657,$A$8:$A$657,A399)))</f>
        <v>157.4400344002419</v>
      </c>
      <c r="K399" s="8">
        <f>IF(J399="","",IF(SUMIFS('Facturas y gastos'!$D$10:$D$13,'Facturas y gastos'!$A$10:$A$13,A399)=0,"",J399*SUMIFS('Facturas y gastos'!$G$10:$G$13,'Facturas y gastos'!$A$10:$A$13,A399)/SUMIFS('Facturas y gastos'!$D$10:$D$13,'Facturas y gastos'!$A$10:$A$13,A399)))</f>
        <v>1.5743958719709694</v>
      </c>
      <c r="L399" s="8">
        <f>IF(J399="","",IF(SUMIFS('Facturas y gastos'!$D$10:$D$13,'Facturas y gastos'!$A$10:$A$13,A399)=0,"",J399*SUMIFS('Facturas y gastos'!$H$10:$H$13,'Facturas y gastos'!$A$10:$A$13,A399)/SUMIFS('Facturas y gastos'!$D$10:$D$13,'Facturas y gastos'!$A$10:$A$13,A399)))</f>
        <v>4.7231876159129085</v>
      </c>
      <c r="M399" s="8">
        <f>IF(J399="","",IF(SUMIFS('Facturas y gastos'!$D$10:$D$13,'Facturas y gastos'!$A$10:$A$13,A399)=0,"",J399*SUMIFS('Facturas y gastos'!$I$10:$I$13,'Facturas y gastos'!$A$10:$A$13,A399)/SUMIFS('Facturas y gastos'!$D$10:$D$13,'Facturas y gastos'!$A$10:$A$13,A399)))</f>
        <v>27.176191117116389</v>
      </c>
      <c r="N399" s="8">
        <f>IF(J399="","",IF(SUMIFS('Facturas y gastos'!$D$10:$D$13,'Facturas y gastos'!$A$10:$A$13,A399)=0,"",J399*SUMIFS('Facturas y gastos'!$J$10:$J$13,'Facturas y gastos'!$A$10:$A$13,A399)/SUMIFS('Facturas y gastos'!$D$10:$D$13,'Facturas y gastos'!$A$10:$A$13,A399)))</f>
        <v>0</v>
      </c>
      <c r="O399" s="8">
        <f t="shared" si="12"/>
        <v>187.76501726130022</v>
      </c>
      <c r="P399" s="8" t="str">
        <f>IF(OR(O399="",'Facturas y gastos'!$B$24="",'Facturas y gastos'!$B$45&lt;&gt;"OK",SUM($O$8:$O$657)=0),"",O399*'Facturas y gastos'!$B$43/SUM($O$8:$O$657))</f>
        <v/>
      </c>
      <c r="Q399" s="8" t="str">
        <f>IF(OR(O399="",'Facturas y gastos'!$B$5="",P399=""),"",O399*'Facturas y gastos'!$B$5+P399)</f>
        <v/>
      </c>
      <c r="R399" s="8" t="str">
        <f t="shared" si="13"/>
        <v/>
      </c>
    </row>
    <row r="400" spans="1:18">
      <c r="A400" s="25" t="s">
        <v>62</v>
      </c>
      <c r="B400" s="25">
        <v>15</v>
      </c>
      <c r="C400" s="25" t="s">
        <v>560</v>
      </c>
      <c r="D400" s="25" t="s">
        <v>558</v>
      </c>
      <c r="E400" s="25" t="s">
        <v>108</v>
      </c>
      <c r="F400" s="27">
        <v>120</v>
      </c>
      <c r="G400" s="27">
        <v>3</v>
      </c>
      <c r="H400" s="29">
        <v>2.46</v>
      </c>
      <c r="I400" s="29">
        <v>295.2</v>
      </c>
      <c r="J400" s="8">
        <f>IF(OR(A400="",I400=""),"",IF(SUMIFS($I$8:$I$657,$A$8:$A$657,A400)=0,"",I400*SUMIFS('Facturas y gastos'!$D$10:$D$13,'Facturas y gastos'!$A$10:$A$13,A400)/SUMIFS($I$8:$I$657,$A$8:$A$657,A400)))</f>
        <v>295.20006450045355</v>
      </c>
      <c r="K400" s="8">
        <f>IF(J400="","",IF(SUMIFS('Facturas y gastos'!$D$10:$D$13,'Facturas y gastos'!$A$10:$A$13,A400)=0,"",J400*SUMIFS('Facturas y gastos'!$G$10:$G$13,'Facturas y gastos'!$A$10:$A$13,A400)/SUMIFS('Facturas y gastos'!$D$10:$D$13,'Facturas y gastos'!$A$10:$A$13,A400)))</f>
        <v>2.9519922599455675</v>
      </c>
      <c r="L400" s="8">
        <f>IF(J400="","",IF(SUMIFS('Facturas y gastos'!$D$10:$D$13,'Facturas y gastos'!$A$10:$A$13,A400)=0,"",J400*SUMIFS('Facturas y gastos'!$H$10:$H$13,'Facturas y gastos'!$A$10:$A$13,A400)/SUMIFS('Facturas y gastos'!$D$10:$D$13,'Facturas y gastos'!$A$10:$A$13,A400)))</f>
        <v>8.855976779836702</v>
      </c>
      <c r="M400" s="8">
        <f>IF(J400="","",IF(SUMIFS('Facturas y gastos'!$D$10:$D$13,'Facturas y gastos'!$A$10:$A$13,A400)=0,"",J400*SUMIFS('Facturas y gastos'!$I$10:$I$13,'Facturas y gastos'!$A$10:$A$13,A400)/SUMIFS('Facturas y gastos'!$D$10:$D$13,'Facturas y gastos'!$A$10:$A$13,A400)))</f>
        <v>50.955358344593229</v>
      </c>
      <c r="N400" s="8">
        <f>IF(J400="","",IF(SUMIFS('Facturas y gastos'!$D$10:$D$13,'Facturas y gastos'!$A$10:$A$13,A400)=0,"",J400*SUMIFS('Facturas y gastos'!$J$10:$J$13,'Facturas y gastos'!$A$10:$A$13,A400)/SUMIFS('Facturas y gastos'!$D$10:$D$13,'Facturas y gastos'!$A$10:$A$13,A400)))</f>
        <v>0</v>
      </c>
      <c r="O400" s="8">
        <f t="shared" si="12"/>
        <v>352.0594073649379</v>
      </c>
      <c r="P400" s="8" t="str">
        <f>IF(OR(O400="",'Facturas y gastos'!$B$24="",'Facturas y gastos'!$B$45&lt;&gt;"OK",SUM($O$8:$O$657)=0),"",O400*'Facturas y gastos'!$B$43/SUM($O$8:$O$657))</f>
        <v/>
      </c>
      <c r="Q400" s="8" t="str">
        <f>IF(OR(O400="",'Facturas y gastos'!$B$5="",P400=""),"",O400*'Facturas y gastos'!$B$5+P400)</f>
        <v/>
      </c>
      <c r="R400" s="8" t="str">
        <f t="shared" si="13"/>
        <v/>
      </c>
    </row>
    <row r="401" spans="1:18">
      <c r="A401" s="25" t="s">
        <v>62</v>
      </c>
      <c r="B401" s="25">
        <v>16</v>
      </c>
      <c r="C401" s="25" t="s">
        <v>561</v>
      </c>
      <c r="D401" s="25" t="s">
        <v>558</v>
      </c>
      <c r="E401" s="25" t="s">
        <v>108</v>
      </c>
      <c r="F401" s="27">
        <v>54</v>
      </c>
      <c r="G401" s="27">
        <v>3</v>
      </c>
      <c r="H401" s="29">
        <v>3.36</v>
      </c>
      <c r="I401" s="29">
        <v>181.44</v>
      </c>
      <c r="J401" s="8">
        <f>IF(OR(A401="",I401=""),"",IF(SUMIFS($I$8:$I$657,$A$8:$A$657,A401)=0,"",I401*SUMIFS('Facturas y gastos'!$D$10:$D$13,'Facturas y gastos'!$A$10:$A$13,A401)/SUMIFS($I$8:$I$657,$A$8:$A$657,A401)))</f>
        <v>181.44003964418121</v>
      </c>
      <c r="K401" s="8">
        <f>IF(J401="","",IF(SUMIFS('Facturas y gastos'!$D$10:$D$13,'Facturas y gastos'!$A$10:$A$13,A401)=0,"",J401*SUMIFS('Facturas y gastos'!$G$10:$G$13,'Facturas y gastos'!$A$10:$A$13,A401)/SUMIFS('Facturas y gastos'!$D$10:$D$13,'Facturas y gastos'!$A$10:$A$13,A401)))</f>
        <v>1.8143952426982513</v>
      </c>
      <c r="L401" s="8">
        <f>IF(J401="","",IF(SUMIFS('Facturas y gastos'!$D$10:$D$13,'Facturas y gastos'!$A$10:$A$13,A401)=0,"",J401*SUMIFS('Facturas y gastos'!$H$10:$H$13,'Facturas y gastos'!$A$10:$A$13,A401)/SUMIFS('Facturas y gastos'!$D$10:$D$13,'Facturas y gastos'!$A$10:$A$13,A401)))</f>
        <v>5.443185728094754</v>
      </c>
      <c r="M401" s="8">
        <f>IF(J401="","",IF(SUMIFS('Facturas y gastos'!$D$10:$D$13,'Facturas y gastos'!$A$10:$A$13,A401)=0,"",J401*SUMIFS('Facturas y gastos'!$I$10:$I$13,'Facturas y gastos'!$A$10:$A$13,A401)/SUMIFS('Facturas y gastos'!$D$10:$D$13,'Facturas y gastos'!$A$10:$A$13,A401)))</f>
        <v>31.318903177652427</v>
      </c>
      <c r="N401" s="8">
        <f>IF(J401="","",IF(SUMIFS('Facturas y gastos'!$D$10:$D$13,'Facturas y gastos'!$A$10:$A$13,A401)=0,"",J401*SUMIFS('Facturas y gastos'!$J$10:$J$13,'Facturas y gastos'!$A$10:$A$13,A401)/SUMIFS('Facturas y gastos'!$D$10:$D$13,'Facturas y gastos'!$A$10:$A$13,A401)))</f>
        <v>0</v>
      </c>
      <c r="O401" s="8">
        <f t="shared" si="12"/>
        <v>216.38773330723015</v>
      </c>
      <c r="P401" s="8" t="str">
        <f>IF(OR(O401="",'Facturas y gastos'!$B$24="",'Facturas y gastos'!$B$45&lt;&gt;"OK",SUM($O$8:$O$657)=0),"",O401*'Facturas y gastos'!$B$43/SUM($O$8:$O$657))</f>
        <v/>
      </c>
      <c r="Q401" s="8" t="str">
        <f>IF(OR(O401="",'Facturas y gastos'!$B$5="",P401=""),"",O401*'Facturas y gastos'!$B$5+P401)</f>
        <v/>
      </c>
      <c r="R401" s="8" t="str">
        <f t="shared" si="13"/>
        <v/>
      </c>
    </row>
    <row r="402" spans="1:18">
      <c r="A402" s="25" t="s">
        <v>62</v>
      </c>
      <c r="B402" s="25">
        <v>17</v>
      </c>
      <c r="C402" s="25" t="s">
        <v>562</v>
      </c>
      <c r="D402" s="25" t="s">
        <v>532</v>
      </c>
      <c r="E402" s="25" t="s">
        <v>108</v>
      </c>
      <c r="F402" s="27">
        <v>180</v>
      </c>
      <c r="G402" s="27">
        <v>3</v>
      </c>
      <c r="H402" s="29">
        <v>1.79</v>
      </c>
      <c r="I402" s="29">
        <v>322.2</v>
      </c>
      <c r="J402" s="8">
        <f>IF(OR(A402="",I402=""),"",IF(SUMIFS($I$8:$I$657,$A$8:$A$657,A402)=0,"",I402*SUMIFS('Facturas y gastos'!$D$10:$D$13,'Facturas y gastos'!$A$10:$A$13,A402)/SUMIFS($I$8:$I$657,$A$8:$A$657,A402)))</f>
        <v>322.20007039988531</v>
      </c>
      <c r="K402" s="8">
        <f>IF(J402="","",IF(SUMIFS('Facturas y gastos'!$D$10:$D$13,'Facturas y gastos'!$A$10:$A$13,A402)=0,"",J402*SUMIFS('Facturas y gastos'!$G$10:$G$13,'Facturas y gastos'!$A$10:$A$13,A402)/SUMIFS('Facturas y gastos'!$D$10:$D$13,'Facturas y gastos'!$A$10:$A$13,A402)))</f>
        <v>3.2219915520137601</v>
      </c>
      <c r="L402" s="8">
        <f>IF(J402="","",IF(SUMIFS('Facturas y gastos'!$D$10:$D$13,'Facturas y gastos'!$A$10:$A$13,A402)=0,"",J402*SUMIFS('Facturas y gastos'!$H$10:$H$13,'Facturas y gastos'!$A$10:$A$13,A402)/SUMIFS('Facturas y gastos'!$D$10:$D$13,'Facturas y gastos'!$A$10:$A$13,A402)))</f>
        <v>9.6659746560412803</v>
      </c>
      <c r="M402" s="8">
        <f>IF(J402="","",IF(SUMIFS('Facturas y gastos'!$D$10:$D$13,'Facturas y gastos'!$A$10:$A$13,A402)=0,"",J402*SUMIFS('Facturas y gastos'!$I$10:$I$13,'Facturas y gastos'!$A$10:$A$13,A402)/SUMIFS('Facturas y gastos'!$D$10:$D$13,'Facturas y gastos'!$A$10:$A$13,A402)))</f>
        <v>55.615909412696276</v>
      </c>
      <c r="N402" s="8">
        <f>IF(J402="","",IF(SUMIFS('Facturas y gastos'!$D$10:$D$13,'Facturas y gastos'!$A$10:$A$13,A402)=0,"",J402*SUMIFS('Facturas y gastos'!$J$10:$J$13,'Facturas y gastos'!$A$10:$A$13,A402)/SUMIFS('Facturas y gastos'!$D$10:$D$13,'Facturas y gastos'!$A$10:$A$13,A402)))</f>
        <v>0</v>
      </c>
      <c r="O402" s="8">
        <f t="shared" si="12"/>
        <v>384.25996291660908</v>
      </c>
      <c r="P402" s="8" t="str">
        <f>IF(OR(O402="",'Facturas y gastos'!$B$24="",'Facturas y gastos'!$B$45&lt;&gt;"OK",SUM($O$8:$O$657)=0),"",O402*'Facturas y gastos'!$B$43/SUM($O$8:$O$657))</f>
        <v/>
      </c>
      <c r="Q402" s="8" t="str">
        <f>IF(OR(O402="",'Facturas y gastos'!$B$5="",P402=""),"",O402*'Facturas y gastos'!$B$5+P402)</f>
        <v/>
      </c>
      <c r="R402" s="8" t="str">
        <f t="shared" si="13"/>
        <v/>
      </c>
    </row>
    <row r="403" spans="1:18">
      <c r="A403" s="25" t="s">
        <v>62</v>
      </c>
      <c r="B403" s="25">
        <v>18</v>
      </c>
      <c r="C403" s="25" t="s">
        <v>563</v>
      </c>
      <c r="D403" s="25" t="s">
        <v>532</v>
      </c>
      <c r="E403" s="25" t="s">
        <v>108</v>
      </c>
      <c r="F403" s="27">
        <v>180</v>
      </c>
      <c r="G403" s="27">
        <v>3</v>
      </c>
      <c r="H403" s="29">
        <v>2.69</v>
      </c>
      <c r="I403" s="29">
        <v>484.2</v>
      </c>
      <c r="J403" s="8">
        <f>IF(OR(A403="",I403=""),"",IF(SUMIFS($I$8:$I$657,$A$8:$A$657,A403)=0,"",I403*SUMIFS('Facturas y gastos'!$D$10:$D$13,'Facturas y gastos'!$A$10:$A$13,A403)/SUMIFS($I$8:$I$657,$A$8:$A$657,A403)))</f>
        <v>484.20010579647561</v>
      </c>
      <c r="K403" s="8">
        <f>IF(J403="","",IF(SUMIFS('Facturas y gastos'!$D$10:$D$13,'Facturas y gastos'!$A$10:$A$13,A403)=0,"",J403*SUMIFS('Facturas y gastos'!$G$10:$G$13,'Facturas y gastos'!$A$10:$A$13,A403)/SUMIFS('Facturas y gastos'!$D$10:$D$13,'Facturas y gastos'!$A$10:$A$13,A403)))</f>
        <v>4.8419873044229131</v>
      </c>
      <c r="L403" s="8">
        <f>IF(J403="","",IF(SUMIFS('Facturas y gastos'!$D$10:$D$13,'Facturas y gastos'!$A$10:$A$13,A403)=0,"",J403*SUMIFS('Facturas y gastos'!$H$10:$H$13,'Facturas y gastos'!$A$10:$A$13,A403)/SUMIFS('Facturas y gastos'!$D$10:$D$13,'Facturas y gastos'!$A$10:$A$13,A403)))</f>
        <v>14.525961913268738</v>
      </c>
      <c r="M403" s="8">
        <f>IF(J403="","",IF(SUMIFS('Facturas y gastos'!$D$10:$D$13,'Facturas y gastos'!$A$10:$A$13,A403)=0,"",J403*SUMIFS('Facturas y gastos'!$I$10:$I$13,'Facturas y gastos'!$A$10:$A$13,A403)/SUMIFS('Facturas y gastos'!$D$10:$D$13,'Facturas y gastos'!$A$10:$A$13,A403)))</f>
        <v>83.579215821314506</v>
      </c>
      <c r="N403" s="8">
        <f>IF(J403="","",IF(SUMIFS('Facturas y gastos'!$D$10:$D$13,'Facturas y gastos'!$A$10:$A$13,A403)=0,"",J403*SUMIFS('Facturas y gastos'!$J$10:$J$13,'Facturas y gastos'!$A$10:$A$13,A403)/SUMIFS('Facturas y gastos'!$D$10:$D$13,'Facturas y gastos'!$A$10:$A$13,A403)))</f>
        <v>0</v>
      </c>
      <c r="O403" s="8">
        <f t="shared" si="12"/>
        <v>577.46329622663598</v>
      </c>
      <c r="P403" s="8" t="str">
        <f>IF(OR(O403="",'Facturas y gastos'!$B$24="",'Facturas y gastos'!$B$45&lt;&gt;"OK",SUM($O$8:$O$657)=0),"",O403*'Facturas y gastos'!$B$43/SUM($O$8:$O$657))</f>
        <v/>
      </c>
      <c r="Q403" s="8" t="str">
        <f>IF(OR(O403="",'Facturas y gastos'!$B$5="",P403=""),"",O403*'Facturas y gastos'!$B$5+P403)</f>
        <v/>
      </c>
      <c r="R403" s="8" t="str">
        <f t="shared" si="13"/>
        <v/>
      </c>
    </row>
    <row r="404" spans="1:18">
      <c r="A404" s="25" t="s">
        <v>62</v>
      </c>
      <c r="B404" s="25">
        <v>19</v>
      </c>
      <c r="C404" s="25" t="s">
        <v>564</v>
      </c>
      <c r="D404" s="25" t="s">
        <v>532</v>
      </c>
      <c r="E404" s="25" t="s">
        <v>108</v>
      </c>
      <c r="F404" s="27">
        <v>180</v>
      </c>
      <c r="G404" s="27">
        <v>6</v>
      </c>
      <c r="H404" s="29">
        <v>1.94</v>
      </c>
      <c r="I404" s="29">
        <v>349.2</v>
      </c>
      <c r="J404" s="8">
        <f>IF(OR(A404="",I404=""),"",IF(SUMIFS($I$8:$I$657,$A$8:$A$657,A404)=0,"",I404*SUMIFS('Facturas y gastos'!$D$10:$D$13,'Facturas y gastos'!$A$10:$A$13,A404)/SUMIFS($I$8:$I$657,$A$8:$A$657,A404)))</f>
        <v>349.200076299317</v>
      </c>
      <c r="K404" s="8">
        <f>IF(J404="","",IF(SUMIFS('Facturas y gastos'!$D$10:$D$13,'Facturas y gastos'!$A$10:$A$13,A404)=0,"",J404*SUMIFS('Facturas y gastos'!$G$10:$G$13,'Facturas y gastos'!$A$10:$A$13,A404)/SUMIFS('Facturas y gastos'!$D$10:$D$13,'Facturas y gastos'!$A$10:$A$13,A404)))</f>
        <v>3.4919908440819518</v>
      </c>
      <c r="L404" s="8">
        <f>IF(J404="","",IF(SUMIFS('Facturas y gastos'!$D$10:$D$13,'Facturas y gastos'!$A$10:$A$13,A404)=0,"",J404*SUMIFS('Facturas y gastos'!$H$10:$H$13,'Facturas y gastos'!$A$10:$A$13,A404)/SUMIFS('Facturas y gastos'!$D$10:$D$13,'Facturas y gastos'!$A$10:$A$13,A404)))</f>
        <v>10.475972532245855</v>
      </c>
      <c r="M404" s="8">
        <f>IF(J404="","",IF(SUMIFS('Facturas y gastos'!$D$10:$D$13,'Facturas y gastos'!$A$10:$A$13,A404)=0,"",J404*SUMIFS('Facturas y gastos'!$I$10:$I$13,'Facturas y gastos'!$A$10:$A$13,A404)/SUMIFS('Facturas y gastos'!$D$10:$D$13,'Facturas y gastos'!$A$10:$A$13,A404)))</f>
        <v>60.276460480799308</v>
      </c>
      <c r="N404" s="8">
        <f>IF(J404="","",IF(SUMIFS('Facturas y gastos'!$D$10:$D$13,'Facturas y gastos'!$A$10:$A$13,A404)=0,"",J404*SUMIFS('Facturas y gastos'!$J$10:$J$13,'Facturas y gastos'!$A$10:$A$13,A404)/SUMIFS('Facturas y gastos'!$D$10:$D$13,'Facturas y gastos'!$A$10:$A$13,A404)))</f>
        <v>0</v>
      </c>
      <c r="O404" s="8">
        <f t="shared" si="12"/>
        <v>416.46051846828021</v>
      </c>
      <c r="P404" s="8" t="str">
        <f>IF(OR(O404="",'Facturas y gastos'!$B$24="",'Facturas y gastos'!$B$45&lt;&gt;"OK",SUM($O$8:$O$657)=0),"",O404*'Facturas y gastos'!$B$43/SUM($O$8:$O$657))</f>
        <v/>
      </c>
      <c r="Q404" s="8" t="str">
        <f>IF(OR(O404="",'Facturas y gastos'!$B$5="",P404=""),"",O404*'Facturas y gastos'!$B$5+P404)</f>
        <v/>
      </c>
      <c r="R404" s="8" t="str">
        <f t="shared" si="13"/>
        <v/>
      </c>
    </row>
    <row r="405" spans="1:18">
      <c r="A405" s="25" t="s">
        <v>62</v>
      </c>
      <c r="B405" s="25">
        <v>20</v>
      </c>
      <c r="C405" s="25" t="s">
        <v>565</v>
      </c>
      <c r="D405" s="25" t="s">
        <v>566</v>
      </c>
      <c r="E405" s="25" t="s">
        <v>108</v>
      </c>
      <c r="F405" s="27">
        <v>144</v>
      </c>
      <c r="G405" s="27">
        <v>6</v>
      </c>
      <c r="H405" s="29">
        <v>2.34</v>
      </c>
      <c r="I405" s="29">
        <v>336.96</v>
      </c>
      <c r="J405" s="8">
        <f>IF(OR(A405="",I405=""),"",IF(SUMIFS($I$8:$I$657,$A$8:$A$657,A405)=0,"",I405*SUMIFS('Facturas y gastos'!$D$10:$D$13,'Facturas y gastos'!$A$10:$A$13,A405)/SUMIFS($I$8:$I$657,$A$8:$A$657,A405)))</f>
        <v>336.96007362490798</v>
      </c>
      <c r="K405" s="8">
        <f>IF(J405="","",IF(SUMIFS('Facturas y gastos'!$D$10:$D$13,'Facturas y gastos'!$A$10:$A$13,A405)=0,"",J405*SUMIFS('Facturas y gastos'!$G$10:$G$13,'Facturas y gastos'!$A$10:$A$13,A405)/SUMIFS('Facturas y gastos'!$D$10:$D$13,'Facturas y gastos'!$A$10:$A$13,A405)))</f>
        <v>3.3695911650110384</v>
      </c>
      <c r="L405" s="8">
        <f>IF(J405="","",IF(SUMIFS('Facturas y gastos'!$D$10:$D$13,'Facturas y gastos'!$A$10:$A$13,A405)=0,"",J405*SUMIFS('Facturas y gastos'!$H$10:$H$13,'Facturas y gastos'!$A$10:$A$13,A405)/SUMIFS('Facturas y gastos'!$D$10:$D$13,'Facturas y gastos'!$A$10:$A$13,A405)))</f>
        <v>10.108773495033116</v>
      </c>
      <c r="M405" s="8">
        <f>IF(J405="","",IF(SUMIFS('Facturas y gastos'!$D$10:$D$13,'Facturas y gastos'!$A$10:$A$13,A405)=0,"",J405*SUMIFS('Facturas y gastos'!$I$10:$I$13,'Facturas y gastos'!$A$10:$A$13,A405)/SUMIFS('Facturas y gastos'!$D$10:$D$13,'Facturas y gastos'!$A$10:$A$13,A405)))</f>
        <v>58.163677329925932</v>
      </c>
      <c r="N405" s="8">
        <f>IF(J405="","",IF(SUMIFS('Facturas y gastos'!$D$10:$D$13,'Facturas y gastos'!$A$10:$A$13,A405)=0,"",J405*SUMIFS('Facturas y gastos'!$J$10:$J$13,'Facturas y gastos'!$A$10:$A$13,A405)/SUMIFS('Facturas y gastos'!$D$10:$D$13,'Facturas y gastos'!$A$10:$A$13,A405)))</f>
        <v>0</v>
      </c>
      <c r="O405" s="8">
        <f t="shared" si="12"/>
        <v>401.86293328485596</v>
      </c>
      <c r="P405" s="8" t="str">
        <f>IF(OR(O405="",'Facturas y gastos'!$B$24="",'Facturas y gastos'!$B$45&lt;&gt;"OK",SUM($O$8:$O$657)=0),"",O405*'Facturas y gastos'!$B$43/SUM($O$8:$O$657))</f>
        <v/>
      </c>
      <c r="Q405" s="8" t="str">
        <f>IF(OR(O405="",'Facturas y gastos'!$B$5="",P405=""),"",O405*'Facturas y gastos'!$B$5+P405)</f>
        <v/>
      </c>
      <c r="R405" s="8" t="str">
        <f t="shared" si="13"/>
        <v/>
      </c>
    </row>
    <row r="406" spans="1:18">
      <c r="A406" s="25" t="s">
        <v>62</v>
      </c>
      <c r="B406" s="25">
        <v>21</v>
      </c>
      <c r="C406" s="25" t="s">
        <v>567</v>
      </c>
      <c r="D406" s="25" t="s">
        <v>532</v>
      </c>
      <c r="E406" s="25" t="s">
        <v>108</v>
      </c>
      <c r="F406" s="27">
        <v>108</v>
      </c>
      <c r="G406" s="27">
        <v>9</v>
      </c>
      <c r="H406" s="29">
        <v>3.28</v>
      </c>
      <c r="I406" s="29">
        <v>354.24</v>
      </c>
      <c r="J406" s="8">
        <f>IF(OR(A406="",I406=""),"",IF(SUMIFS($I$8:$I$657,$A$8:$A$657,A406)=0,"",I406*SUMIFS('Facturas y gastos'!$D$10:$D$13,'Facturas y gastos'!$A$10:$A$13,A406)/SUMIFS($I$8:$I$657,$A$8:$A$657,A406)))</f>
        <v>354.24007740054429</v>
      </c>
      <c r="K406" s="8">
        <f>IF(J406="","",IF(SUMIFS('Facturas y gastos'!$D$10:$D$13,'Facturas y gastos'!$A$10:$A$13,A406)=0,"",J406*SUMIFS('Facturas y gastos'!$G$10:$G$13,'Facturas y gastos'!$A$10:$A$13,A406)/SUMIFS('Facturas y gastos'!$D$10:$D$13,'Facturas y gastos'!$A$10:$A$13,A406)))</f>
        <v>3.5423907119346811</v>
      </c>
      <c r="L406" s="8">
        <f>IF(J406="","",IF(SUMIFS('Facturas y gastos'!$D$10:$D$13,'Facturas y gastos'!$A$10:$A$13,A406)=0,"",J406*SUMIFS('Facturas y gastos'!$H$10:$H$13,'Facturas y gastos'!$A$10:$A$13,A406)/SUMIFS('Facturas y gastos'!$D$10:$D$13,'Facturas y gastos'!$A$10:$A$13,A406)))</f>
        <v>10.627172135804043</v>
      </c>
      <c r="M406" s="8">
        <f>IF(J406="","",IF(SUMIFS('Facturas y gastos'!$D$10:$D$13,'Facturas y gastos'!$A$10:$A$13,A406)=0,"",J406*SUMIFS('Facturas y gastos'!$I$10:$I$13,'Facturas y gastos'!$A$10:$A$13,A406)/SUMIFS('Facturas y gastos'!$D$10:$D$13,'Facturas y gastos'!$A$10:$A$13,A406)))</f>
        <v>61.146430013511875</v>
      </c>
      <c r="N406" s="8">
        <f>IF(J406="","",IF(SUMIFS('Facturas y gastos'!$D$10:$D$13,'Facturas y gastos'!$A$10:$A$13,A406)=0,"",J406*SUMIFS('Facturas y gastos'!$J$10:$J$13,'Facturas y gastos'!$A$10:$A$13,A406)/SUMIFS('Facturas y gastos'!$D$10:$D$13,'Facturas y gastos'!$A$10:$A$13,A406)))</f>
        <v>0</v>
      </c>
      <c r="O406" s="8">
        <f t="shared" si="12"/>
        <v>422.4712888379255</v>
      </c>
      <c r="P406" s="8" t="str">
        <f>IF(OR(O406="",'Facturas y gastos'!$B$24="",'Facturas y gastos'!$B$45&lt;&gt;"OK",SUM($O$8:$O$657)=0),"",O406*'Facturas y gastos'!$B$43/SUM($O$8:$O$657))</f>
        <v/>
      </c>
      <c r="Q406" s="8" t="str">
        <f>IF(OR(O406="",'Facturas y gastos'!$B$5="",P406=""),"",O406*'Facturas y gastos'!$B$5+P406)</f>
        <v/>
      </c>
      <c r="R406" s="8" t="str">
        <f t="shared" si="13"/>
        <v/>
      </c>
    </row>
    <row r="407" spans="1:18">
      <c r="A407" s="25" t="s">
        <v>62</v>
      </c>
      <c r="B407" s="25">
        <v>22</v>
      </c>
      <c r="C407" s="25" t="s">
        <v>568</v>
      </c>
      <c r="D407" s="25" t="s">
        <v>569</v>
      </c>
      <c r="E407" s="25" t="s">
        <v>108</v>
      </c>
      <c r="F407" s="27">
        <v>300</v>
      </c>
      <c r="G407" s="27">
        <v>3</v>
      </c>
      <c r="H407" s="29">
        <v>1.72</v>
      </c>
      <c r="I407" s="29">
        <v>516</v>
      </c>
      <c r="J407" s="8">
        <f>IF(OR(A407="",I407=""),"",IF(SUMIFS($I$8:$I$657,$A$8:$A$657,A407)=0,"",I407*SUMIFS('Facturas y gastos'!$D$10:$D$13,'Facturas y gastos'!$A$10:$A$13,A407)/SUMIFS($I$8:$I$657,$A$8:$A$657,A407)))</f>
        <v>516.00011274469523</v>
      </c>
      <c r="K407" s="8">
        <f>IF(J407="","",IF(SUMIFS('Facturas y gastos'!$D$10:$D$13,'Facturas y gastos'!$A$10:$A$13,A407)=0,"",J407*SUMIFS('Facturas y gastos'!$G$10:$G$13,'Facturas y gastos'!$A$10:$A$13,A407)/SUMIFS('Facturas y gastos'!$D$10:$D$13,'Facturas y gastos'!$A$10:$A$13,A407)))</f>
        <v>5.1599864706365617</v>
      </c>
      <c r="L407" s="8">
        <f>IF(J407="","",IF(SUMIFS('Facturas y gastos'!$D$10:$D$13,'Facturas y gastos'!$A$10:$A$13,A407)=0,"",J407*SUMIFS('Facturas y gastos'!$H$10:$H$13,'Facturas y gastos'!$A$10:$A$13,A407)/SUMIFS('Facturas y gastos'!$D$10:$D$13,'Facturas y gastos'!$A$10:$A$13,A407)))</f>
        <v>15.479959411909684</v>
      </c>
      <c r="M407" s="8">
        <f>IF(J407="","",IF(SUMIFS('Facturas y gastos'!$D$10:$D$13,'Facturas y gastos'!$A$10:$A$13,A407)=0,"",J407*SUMIFS('Facturas y gastos'!$I$10:$I$13,'Facturas y gastos'!$A$10:$A$13,A407)/SUMIFS('Facturas y gastos'!$D$10:$D$13,'Facturas y gastos'!$A$10:$A$13,A407)))</f>
        <v>89.068309301524749</v>
      </c>
      <c r="N407" s="8">
        <f>IF(J407="","",IF(SUMIFS('Facturas y gastos'!$D$10:$D$13,'Facturas y gastos'!$A$10:$A$13,A407)=0,"",J407*SUMIFS('Facturas y gastos'!$J$10:$J$13,'Facturas y gastos'!$A$10:$A$13,A407)/SUMIFS('Facturas y gastos'!$D$10:$D$13,'Facturas y gastos'!$A$10:$A$13,A407)))</f>
        <v>0</v>
      </c>
      <c r="O407" s="8">
        <f t="shared" si="12"/>
        <v>615.38839498749314</v>
      </c>
      <c r="P407" s="8" t="str">
        <f>IF(OR(O407="",'Facturas y gastos'!$B$24="",'Facturas y gastos'!$B$45&lt;&gt;"OK",SUM($O$8:$O$657)=0),"",O407*'Facturas y gastos'!$B$43/SUM($O$8:$O$657))</f>
        <v/>
      </c>
      <c r="Q407" s="8" t="str">
        <f>IF(OR(O407="",'Facturas y gastos'!$B$5="",P407=""),"",O407*'Facturas y gastos'!$B$5+P407)</f>
        <v/>
      </c>
      <c r="R407" s="8" t="str">
        <f t="shared" si="13"/>
        <v/>
      </c>
    </row>
    <row r="408" spans="1:18">
      <c r="A408" s="25" t="s">
        <v>62</v>
      </c>
      <c r="B408" s="25">
        <v>23</v>
      </c>
      <c r="C408" s="25" t="s">
        <v>570</v>
      </c>
      <c r="D408" s="25" t="s">
        <v>569</v>
      </c>
      <c r="E408" s="25" t="s">
        <v>108</v>
      </c>
      <c r="F408" s="27">
        <v>300</v>
      </c>
      <c r="G408" s="27">
        <v>3</v>
      </c>
      <c r="H408" s="29">
        <v>1.1200000000000001</v>
      </c>
      <c r="I408" s="29">
        <v>336</v>
      </c>
      <c r="J408" s="8">
        <f>IF(OR(A408="",I408=""),"",IF(SUMIFS($I$8:$I$657,$A$8:$A$657,A408)=0,"",I408*SUMIFS('Facturas y gastos'!$D$10:$D$13,'Facturas y gastos'!$A$10:$A$13,A408)/SUMIFS($I$8:$I$657,$A$8:$A$657,A408)))</f>
        <v>336.00007341515044</v>
      </c>
      <c r="K408" s="8">
        <f>IF(J408="","",IF(SUMIFS('Facturas y gastos'!$D$10:$D$13,'Facturas y gastos'!$A$10:$A$13,A408)=0,"",J408*SUMIFS('Facturas y gastos'!$G$10:$G$13,'Facturas y gastos'!$A$10:$A$13,A408)/SUMIFS('Facturas y gastos'!$D$10:$D$13,'Facturas y gastos'!$A$10:$A$13,A408)))</f>
        <v>3.359991190181947</v>
      </c>
      <c r="L408" s="8">
        <f>IF(J408="","",IF(SUMIFS('Facturas y gastos'!$D$10:$D$13,'Facturas y gastos'!$A$10:$A$13,A408)=0,"",J408*SUMIFS('Facturas y gastos'!$H$10:$H$13,'Facturas y gastos'!$A$10:$A$13,A408)/SUMIFS('Facturas y gastos'!$D$10:$D$13,'Facturas y gastos'!$A$10:$A$13,A408)))</f>
        <v>10.079973570545842</v>
      </c>
      <c r="M408" s="8">
        <f>IF(J408="","",IF(SUMIFS('Facturas y gastos'!$D$10:$D$13,'Facturas y gastos'!$A$10:$A$13,A408)=0,"",J408*SUMIFS('Facturas y gastos'!$I$10:$I$13,'Facturas y gastos'!$A$10:$A$13,A408)/SUMIFS('Facturas y gastos'!$D$10:$D$13,'Facturas y gastos'!$A$10:$A$13,A408)))</f>
        <v>57.997968847504495</v>
      </c>
      <c r="N408" s="8">
        <f>IF(J408="","",IF(SUMIFS('Facturas y gastos'!$D$10:$D$13,'Facturas y gastos'!$A$10:$A$13,A408)=0,"",J408*SUMIFS('Facturas y gastos'!$J$10:$J$13,'Facturas y gastos'!$A$10:$A$13,A408)/SUMIFS('Facturas y gastos'!$D$10:$D$13,'Facturas y gastos'!$A$10:$A$13,A408)))</f>
        <v>0</v>
      </c>
      <c r="O408" s="8">
        <f t="shared" si="12"/>
        <v>400.71802464301879</v>
      </c>
      <c r="P408" s="8" t="str">
        <f>IF(OR(O408="",'Facturas y gastos'!$B$24="",'Facturas y gastos'!$B$45&lt;&gt;"OK",SUM($O$8:$O$657)=0),"",O408*'Facturas y gastos'!$B$43/SUM($O$8:$O$657))</f>
        <v/>
      </c>
      <c r="Q408" s="8" t="str">
        <f>IF(OR(O408="",'Facturas y gastos'!$B$5="",P408=""),"",O408*'Facturas y gastos'!$B$5+P408)</f>
        <v/>
      </c>
      <c r="R408" s="8" t="str">
        <f t="shared" si="13"/>
        <v/>
      </c>
    </row>
    <row r="409" spans="1:18">
      <c r="A409" s="25" t="s">
        <v>62</v>
      </c>
      <c r="B409" s="25">
        <v>24</v>
      </c>
      <c r="C409" s="25" t="s">
        <v>571</v>
      </c>
      <c r="D409" s="25" t="s">
        <v>572</v>
      </c>
      <c r="E409" s="25" t="s">
        <v>108</v>
      </c>
      <c r="F409" s="27">
        <v>90</v>
      </c>
      <c r="G409" s="27">
        <v>3</v>
      </c>
      <c r="H409" s="29">
        <v>4.4800000000000004</v>
      </c>
      <c r="I409" s="29">
        <v>403.2</v>
      </c>
      <c r="J409" s="8">
        <f>IF(OR(A409="",I409=""),"",IF(SUMIFS($I$8:$I$657,$A$8:$A$657,A409)=0,"",I409*SUMIFS('Facturas y gastos'!$D$10:$D$13,'Facturas y gastos'!$A$10:$A$13,A409)/SUMIFS($I$8:$I$657,$A$8:$A$657,A409)))</f>
        <v>403.20008809818052</v>
      </c>
      <c r="K409" s="8">
        <f>IF(J409="","",IF(SUMIFS('Facturas y gastos'!$D$10:$D$13,'Facturas y gastos'!$A$10:$A$13,A409)=0,"",J409*SUMIFS('Facturas y gastos'!$G$10:$G$13,'Facturas y gastos'!$A$10:$A$13,A409)/SUMIFS('Facturas y gastos'!$D$10:$D$13,'Facturas y gastos'!$A$10:$A$13,A409)))</f>
        <v>4.0319894282183366</v>
      </c>
      <c r="L409" s="8">
        <f>IF(J409="","",IF(SUMIFS('Facturas y gastos'!$D$10:$D$13,'Facturas y gastos'!$A$10:$A$13,A409)=0,"",J409*SUMIFS('Facturas y gastos'!$H$10:$H$13,'Facturas y gastos'!$A$10:$A$13,A409)/SUMIFS('Facturas y gastos'!$D$10:$D$13,'Facturas y gastos'!$A$10:$A$13,A409)))</f>
        <v>12.09596828465501</v>
      </c>
      <c r="M409" s="8">
        <f>IF(J409="","",IF(SUMIFS('Facturas y gastos'!$D$10:$D$13,'Facturas y gastos'!$A$10:$A$13,A409)=0,"",J409*SUMIFS('Facturas y gastos'!$I$10:$I$13,'Facturas y gastos'!$A$10:$A$13,A409)/SUMIFS('Facturas y gastos'!$D$10:$D$13,'Facturas y gastos'!$A$10:$A$13,A409)))</f>
        <v>69.597562617005394</v>
      </c>
      <c r="N409" s="8">
        <f>IF(J409="","",IF(SUMIFS('Facturas y gastos'!$D$10:$D$13,'Facturas y gastos'!$A$10:$A$13,A409)=0,"",J409*SUMIFS('Facturas y gastos'!$J$10:$J$13,'Facturas y gastos'!$A$10:$A$13,A409)/SUMIFS('Facturas y gastos'!$D$10:$D$13,'Facturas y gastos'!$A$10:$A$13,A409)))</f>
        <v>0</v>
      </c>
      <c r="O409" s="8">
        <f t="shared" si="12"/>
        <v>480.86162957162259</v>
      </c>
      <c r="P409" s="8" t="str">
        <f>IF(OR(O409="",'Facturas y gastos'!$B$24="",'Facturas y gastos'!$B$45&lt;&gt;"OK",SUM($O$8:$O$657)=0),"",O409*'Facturas y gastos'!$B$43/SUM($O$8:$O$657))</f>
        <v/>
      </c>
      <c r="Q409" s="8" t="str">
        <f>IF(OR(O409="",'Facturas y gastos'!$B$5="",P409=""),"",O409*'Facturas y gastos'!$B$5+P409)</f>
        <v/>
      </c>
      <c r="R409" s="8" t="str">
        <f t="shared" si="13"/>
        <v/>
      </c>
    </row>
    <row r="410" spans="1:18">
      <c r="A410" s="25" t="s">
        <v>62</v>
      </c>
      <c r="B410" s="25">
        <v>25</v>
      </c>
      <c r="C410" s="25" t="s">
        <v>573</v>
      </c>
      <c r="D410" s="25" t="s">
        <v>574</v>
      </c>
      <c r="E410" s="25" t="s">
        <v>108</v>
      </c>
      <c r="F410" s="27">
        <v>112</v>
      </c>
      <c r="G410" s="27">
        <v>7</v>
      </c>
      <c r="H410" s="29">
        <v>3.88</v>
      </c>
      <c r="I410" s="29">
        <v>434.56</v>
      </c>
      <c r="J410" s="8">
        <f>IF(OR(A410="",I410=""),"",IF(SUMIFS($I$8:$I$657,$A$8:$A$657,A410)=0,"",I410*SUMIFS('Facturas y gastos'!$D$10:$D$13,'Facturas y gastos'!$A$10:$A$13,A410)/SUMIFS($I$8:$I$657,$A$8:$A$657,A410)))</f>
        <v>434.5600949502612</v>
      </c>
      <c r="K410" s="8">
        <f>IF(J410="","",IF(SUMIFS('Facturas y gastos'!$D$10:$D$13,'Facturas y gastos'!$A$10:$A$13,A410)=0,"",J410*SUMIFS('Facturas y gastos'!$G$10:$G$13,'Facturas y gastos'!$A$10:$A$13,A410)/SUMIFS('Facturas y gastos'!$D$10:$D$13,'Facturas y gastos'!$A$10:$A$13,A410)))</f>
        <v>4.3455886059686524</v>
      </c>
      <c r="L410" s="8">
        <f>IF(J410="","",IF(SUMIFS('Facturas y gastos'!$D$10:$D$13,'Facturas y gastos'!$A$10:$A$13,A410)=0,"",J410*SUMIFS('Facturas y gastos'!$H$10:$H$13,'Facturas y gastos'!$A$10:$A$13,A410)/SUMIFS('Facturas y gastos'!$D$10:$D$13,'Facturas y gastos'!$A$10:$A$13,A410)))</f>
        <v>13.036765817905954</v>
      </c>
      <c r="M410" s="8">
        <f>IF(J410="","",IF(SUMIFS('Facturas y gastos'!$D$10:$D$13,'Facturas y gastos'!$A$10:$A$13,A410)=0,"",J410*SUMIFS('Facturas y gastos'!$I$10:$I$13,'Facturas y gastos'!$A$10:$A$13,A410)/SUMIFS('Facturas y gastos'!$D$10:$D$13,'Facturas y gastos'!$A$10:$A$13,A410)))</f>
        <v>75.010706376105816</v>
      </c>
      <c r="N410" s="8">
        <f>IF(J410="","",IF(SUMIFS('Facturas y gastos'!$D$10:$D$13,'Facturas y gastos'!$A$10:$A$13,A410)=0,"",J410*SUMIFS('Facturas y gastos'!$J$10:$J$13,'Facturas y gastos'!$A$10:$A$13,A410)/SUMIFS('Facturas y gastos'!$D$10:$D$13,'Facturas y gastos'!$A$10:$A$13,A410)))</f>
        <v>0</v>
      </c>
      <c r="O410" s="8">
        <f t="shared" si="12"/>
        <v>518.26197853830433</v>
      </c>
      <c r="P410" s="8" t="str">
        <f>IF(OR(O410="",'Facturas y gastos'!$B$24="",'Facturas y gastos'!$B$45&lt;&gt;"OK",SUM($O$8:$O$657)=0),"",O410*'Facturas y gastos'!$B$43/SUM($O$8:$O$657))</f>
        <v/>
      </c>
      <c r="Q410" s="8" t="str">
        <f>IF(OR(O410="",'Facturas y gastos'!$B$5="",P410=""),"",O410*'Facturas y gastos'!$B$5+P410)</f>
        <v/>
      </c>
      <c r="R410" s="8" t="str">
        <f t="shared" si="13"/>
        <v/>
      </c>
    </row>
    <row r="411" spans="1:18">
      <c r="A411" s="25" t="s">
        <v>62</v>
      </c>
      <c r="B411" s="25">
        <v>26</v>
      </c>
      <c r="C411" s="25" t="s">
        <v>575</v>
      </c>
      <c r="D411" s="25" t="s">
        <v>574</v>
      </c>
      <c r="E411" s="25" t="s">
        <v>108</v>
      </c>
      <c r="F411" s="27">
        <v>54</v>
      </c>
      <c r="G411" s="27">
        <v>3</v>
      </c>
      <c r="H411" s="29">
        <v>5.52</v>
      </c>
      <c r="I411" s="29">
        <v>298.08</v>
      </c>
      <c r="J411" s="8">
        <f>IF(OR(A411="",I411=""),"",IF(SUMIFS($I$8:$I$657,$A$8:$A$657,A411)=0,"",I411*SUMIFS('Facturas y gastos'!$D$10:$D$13,'Facturas y gastos'!$A$10:$A$13,A411)/SUMIFS($I$8:$I$657,$A$8:$A$657,A411)))</f>
        <v>298.08006512972628</v>
      </c>
      <c r="K411" s="8">
        <f>IF(J411="","",IF(SUMIFS('Facturas y gastos'!$D$10:$D$13,'Facturas y gastos'!$A$10:$A$13,A411)=0,"",J411*SUMIFS('Facturas y gastos'!$G$10:$G$13,'Facturas y gastos'!$A$10:$A$13,A411)/SUMIFS('Facturas y gastos'!$D$10:$D$13,'Facturas y gastos'!$A$10:$A$13,A411)))</f>
        <v>2.9807921844328416</v>
      </c>
      <c r="L411" s="8">
        <f>IF(J411="","",IF(SUMIFS('Facturas y gastos'!$D$10:$D$13,'Facturas y gastos'!$A$10:$A$13,A411)=0,"",J411*SUMIFS('Facturas y gastos'!$H$10:$H$13,'Facturas y gastos'!$A$10:$A$13,A411)/SUMIFS('Facturas y gastos'!$D$10:$D$13,'Facturas y gastos'!$A$10:$A$13,A411)))</f>
        <v>8.9423765532985247</v>
      </c>
      <c r="M411" s="8">
        <f>IF(J411="","",IF(SUMIFS('Facturas y gastos'!$D$10:$D$13,'Facturas y gastos'!$A$10:$A$13,A411)=0,"",J411*SUMIFS('Facturas y gastos'!$I$10:$I$13,'Facturas y gastos'!$A$10:$A$13,A411)/SUMIFS('Facturas y gastos'!$D$10:$D$13,'Facturas y gastos'!$A$10:$A$13,A411)))</f>
        <v>51.452483791857553</v>
      </c>
      <c r="N411" s="8">
        <f>IF(J411="","",IF(SUMIFS('Facturas y gastos'!$D$10:$D$13,'Facturas y gastos'!$A$10:$A$13,A411)=0,"",J411*SUMIFS('Facturas y gastos'!$J$10:$J$13,'Facturas y gastos'!$A$10:$A$13,A411)/SUMIFS('Facturas y gastos'!$D$10:$D$13,'Facturas y gastos'!$A$10:$A$13,A411)))</f>
        <v>0</v>
      </c>
      <c r="O411" s="8">
        <f t="shared" si="12"/>
        <v>355.4941332904495</v>
      </c>
      <c r="P411" s="8" t="str">
        <f>IF(OR(O411="",'Facturas y gastos'!$B$24="",'Facturas y gastos'!$B$45&lt;&gt;"OK",SUM($O$8:$O$657)=0),"",O411*'Facturas y gastos'!$B$43/SUM($O$8:$O$657))</f>
        <v/>
      </c>
      <c r="Q411" s="8" t="str">
        <f>IF(OR(O411="",'Facturas y gastos'!$B$5="",P411=""),"",O411*'Facturas y gastos'!$B$5+P411)</f>
        <v/>
      </c>
      <c r="R411" s="8" t="str">
        <f t="shared" si="13"/>
        <v/>
      </c>
    </row>
    <row r="412" spans="1:18">
      <c r="A412" s="25" t="s">
        <v>62</v>
      </c>
      <c r="B412" s="25">
        <v>27</v>
      </c>
      <c r="C412" s="25" t="s">
        <v>576</v>
      </c>
      <c r="D412" s="25" t="s">
        <v>566</v>
      </c>
      <c r="E412" s="25" t="s">
        <v>108</v>
      </c>
      <c r="F412" s="27">
        <v>135</v>
      </c>
      <c r="G412" s="27">
        <v>15</v>
      </c>
      <c r="H412" s="29">
        <v>3.58</v>
      </c>
      <c r="I412" s="29">
        <v>483.58</v>
      </c>
      <c r="J412" s="8">
        <f>IF(OR(A412="",I412=""),"",IF(SUMIFS($I$8:$I$657,$A$8:$A$657,A412)=0,"",I412*SUMIFS('Facturas y gastos'!$D$10:$D$13,'Facturas y gastos'!$A$10:$A$13,A412)/SUMIFS($I$8:$I$657,$A$8:$A$657,A412)))</f>
        <v>483.58010566100722</v>
      </c>
      <c r="K412" s="8">
        <f>IF(J412="","",IF(SUMIFS('Facturas y gastos'!$D$10:$D$13,'Facturas y gastos'!$A$10:$A$13,A412)=0,"",J412*SUMIFS('Facturas y gastos'!$G$10:$G$13,'Facturas y gastos'!$A$10:$A$13,A412)/SUMIFS('Facturas y gastos'!$D$10:$D$13,'Facturas y gastos'!$A$10:$A$13,A412)))</f>
        <v>4.8357873206791249</v>
      </c>
      <c r="L412" s="8">
        <f>IF(J412="","",IF(SUMIFS('Facturas y gastos'!$D$10:$D$13,'Facturas y gastos'!$A$10:$A$13,A412)=0,"",J412*SUMIFS('Facturas y gastos'!$H$10:$H$13,'Facturas y gastos'!$A$10:$A$13,A412)/SUMIFS('Facturas y gastos'!$D$10:$D$13,'Facturas y gastos'!$A$10:$A$13,A412)))</f>
        <v>14.507361962037374</v>
      </c>
      <c r="M412" s="8">
        <f>IF(J412="","",IF(SUMIFS('Facturas y gastos'!$D$10:$D$13,'Facturas y gastos'!$A$10:$A$13,A412)=0,"",J412*SUMIFS('Facturas y gastos'!$I$10:$I$13,'Facturas y gastos'!$A$10:$A$13,A412)/SUMIFS('Facturas y gastos'!$D$10:$D$13,'Facturas y gastos'!$A$10:$A$13,A412)))</f>
        <v>83.472195759750662</v>
      </c>
      <c r="N412" s="8">
        <f>IF(J412="","",IF(SUMIFS('Facturas y gastos'!$D$10:$D$13,'Facturas y gastos'!$A$10:$A$13,A412)=0,"",J412*SUMIFS('Facturas y gastos'!$J$10:$J$13,'Facturas y gastos'!$A$10:$A$13,A412)/SUMIFS('Facturas y gastos'!$D$10:$D$13,'Facturas y gastos'!$A$10:$A$13,A412)))</f>
        <v>0</v>
      </c>
      <c r="O412" s="8">
        <f t="shared" si="12"/>
        <v>576.72387606211612</v>
      </c>
      <c r="P412" s="8" t="str">
        <f>IF(OR(O412="",'Facturas y gastos'!$B$24="",'Facturas y gastos'!$B$45&lt;&gt;"OK",SUM($O$8:$O$657)=0),"",O412*'Facturas y gastos'!$B$43/SUM($O$8:$O$657))</f>
        <v/>
      </c>
      <c r="Q412" s="8" t="str">
        <f>IF(OR(O412="",'Facturas y gastos'!$B$5="",P412=""),"",O412*'Facturas y gastos'!$B$5+P412)</f>
        <v/>
      </c>
      <c r="R412" s="8" t="str">
        <f t="shared" si="13"/>
        <v/>
      </c>
    </row>
    <row r="413" spans="1:18">
      <c r="A413" s="25" t="s">
        <v>62</v>
      </c>
      <c r="B413" s="25">
        <v>28</v>
      </c>
      <c r="C413" s="25" t="s">
        <v>577</v>
      </c>
      <c r="D413" s="25" t="s">
        <v>566</v>
      </c>
      <c r="E413" s="25" t="s">
        <v>108</v>
      </c>
      <c r="F413" s="27">
        <v>72</v>
      </c>
      <c r="G413" s="27">
        <v>3</v>
      </c>
      <c r="H413" s="29">
        <v>3.28</v>
      </c>
      <c r="I413" s="29">
        <v>236.42</v>
      </c>
      <c r="J413" s="8">
        <f>IF(OR(A413="",I413=""),"",IF(SUMIFS($I$8:$I$657,$A$8:$A$657,A413)=0,"",I413*SUMIFS('Facturas y gastos'!$D$10:$D$13,'Facturas y gastos'!$A$10:$A$13,A413)/SUMIFS($I$8:$I$657,$A$8:$A$657,A413)))</f>
        <v>236.42005165717219</v>
      </c>
      <c r="K413" s="8">
        <f>IF(J413="","",IF(SUMIFS('Facturas y gastos'!$D$10:$D$13,'Facturas y gastos'!$A$10:$A$13,A413)=0,"",J413*SUMIFS('Facturas y gastos'!$G$10:$G$13,'Facturas y gastos'!$A$10:$A$13,A413)/SUMIFS('Facturas y gastos'!$D$10:$D$13,'Facturas y gastos'!$A$10:$A$13,A413)))</f>
        <v>2.3641938011393333</v>
      </c>
      <c r="L413" s="8">
        <f>IF(J413="","",IF(SUMIFS('Facturas y gastos'!$D$10:$D$13,'Facturas y gastos'!$A$10:$A$13,A413)=0,"",J413*SUMIFS('Facturas y gastos'!$H$10:$H$13,'Facturas y gastos'!$A$10:$A$13,A413)/SUMIFS('Facturas y gastos'!$D$10:$D$13,'Facturas y gastos'!$A$10:$A$13,A413)))</f>
        <v>7.0925814034179986</v>
      </c>
      <c r="M413" s="8">
        <f>IF(J413="","",IF(SUMIFS('Facturas y gastos'!$D$10:$D$13,'Facturas y gastos'!$A$10:$A$13,A413)=0,"",J413*SUMIFS('Facturas y gastos'!$I$10:$I$13,'Facturas y gastos'!$A$10:$A$13,A413)/SUMIFS('Facturas y gastos'!$D$10:$D$13,'Facturas y gastos'!$A$10:$A$13,A413)))</f>
        <v>40.80916605633039</v>
      </c>
      <c r="N413" s="8">
        <f>IF(J413="","",IF(SUMIFS('Facturas y gastos'!$D$10:$D$13,'Facturas y gastos'!$A$10:$A$13,A413)=0,"",J413*SUMIFS('Facturas y gastos'!$J$10:$J$13,'Facturas y gastos'!$A$10:$A$13,A413)/SUMIFS('Facturas y gastos'!$D$10:$D$13,'Facturas y gastos'!$A$10:$A$13,A413)))</f>
        <v>0</v>
      </c>
      <c r="O413" s="8">
        <f t="shared" si="12"/>
        <v>281.95760531578128</v>
      </c>
      <c r="P413" s="8" t="str">
        <f>IF(OR(O413="",'Facturas y gastos'!$B$24="",'Facturas y gastos'!$B$45&lt;&gt;"OK",SUM($O$8:$O$657)=0),"",O413*'Facturas y gastos'!$B$43/SUM($O$8:$O$657))</f>
        <v/>
      </c>
      <c r="Q413" s="8" t="str">
        <f>IF(OR(O413="",'Facturas y gastos'!$B$5="",P413=""),"",O413*'Facturas y gastos'!$B$5+P413)</f>
        <v/>
      </c>
      <c r="R413" s="8" t="str">
        <f t="shared" si="13"/>
        <v/>
      </c>
    </row>
    <row r="414" spans="1:18">
      <c r="A414" s="25" t="s">
        <v>62</v>
      </c>
      <c r="B414" s="25">
        <v>29</v>
      </c>
      <c r="C414" s="25" t="s">
        <v>578</v>
      </c>
      <c r="D414" s="25" t="s">
        <v>566</v>
      </c>
      <c r="E414" s="25" t="s">
        <v>108</v>
      </c>
      <c r="F414" s="27">
        <v>36</v>
      </c>
      <c r="G414" s="27">
        <v>3</v>
      </c>
      <c r="H414" s="29">
        <v>4.78</v>
      </c>
      <c r="I414" s="29">
        <v>171.94</v>
      </c>
      <c r="J414" s="8">
        <f>IF(OR(A414="",I414=""),"",IF(SUMIFS($I$8:$I$657,$A$8:$A$657,A414)=0,"",I414*SUMIFS('Facturas y gastos'!$D$10:$D$13,'Facturas y gastos'!$A$10:$A$13,A414)/SUMIFS($I$8:$I$657,$A$8:$A$657,A414)))</f>
        <v>171.94003756845524</v>
      </c>
      <c r="K414" s="8">
        <f>IF(J414="","",IF(SUMIFS('Facturas y gastos'!$D$10:$D$13,'Facturas y gastos'!$A$10:$A$13,A414)=0,"",J414*SUMIFS('Facturas y gastos'!$G$10:$G$13,'Facturas y gastos'!$A$10:$A$13,A414)/SUMIFS('Facturas y gastos'!$D$10:$D$13,'Facturas y gastos'!$A$10:$A$13,A414)))</f>
        <v>1.7193954917853689</v>
      </c>
      <c r="L414" s="8">
        <f>IF(J414="","",IF(SUMIFS('Facturas y gastos'!$D$10:$D$13,'Facturas y gastos'!$A$10:$A$13,A414)=0,"",J414*SUMIFS('Facturas y gastos'!$H$10:$H$13,'Facturas y gastos'!$A$10:$A$13,A414)/SUMIFS('Facturas y gastos'!$D$10:$D$13,'Facturas y gastos'!$A$10:$A$13,A414)))</f>
        <v>5.1581864753561071</v>
      </c>
      <c r="M414" s="8">
        <f>IF(J414="","",IF(SUMIFS('Facturas y gastos'!$D$10:$D$13,'Facturas y gastos'!$A$10:$A$13,A414)=0,"",J414*SUMIFS('Facturas y gastos'!$I$10:$I$13,'Facturas y gastos'!$A$10:$A$13,A414)/SUMIFS('Facturas y gastos'!$D$10:$D$13,'Facturas y gastos'!$A$10:$A$13,A414)))</f>
        <v>29.679079653690245</v>
      </c>
      <c r="N414" s="8">
        <f>IF(J414="","",IF(SUMIFS('Facturas y gastos'!$D$10:$D$13,'Facturas y gastos'!$A$10:$A$13,A414)=0,"",J414*SUMIFS('Facturas y gastos'!$J$10:$J$13,'Facturas y gastos'!$A$10:$A$13,A414)/SUMIFS('Facturas y gastos'!$D$10:$D$13,'Facturas y gastos'!$A$10:$A$13,A414)))</f>
        <v>0</v>
      </c>
      <c r="O414" s="8">
        <f t="shared" si="12"/>
        <v>205.05790820571622</v>
      </c>
      <c r="P414" s="8" t="str">
        <f>IF(OR(O414="",'Facturas y gastos'!$B$24="",'Facturas y gastos'!$B$45&lt;&gt;"OK",SUM($O$8:$O$657)=0),"",O414*'Facturas y gastos'!$B$43/SUM($O$8:$O$657))</f>
        <v/>
      </c>
      <c r="Q414" s="8" t="str">
        <f>IF(OR(O414="",'Facturas y gastos'!$B$5="",P414=""),"",O414*'Facturas y gastos'!$B$5+P414)</f>
        <v/>
      </c>
      <c r="R414" s="8" t="str">
        <f t="shared" si="13"/>
        <v/>
      </c>
    </row>
    <row r="415" spans="1:18">
      <c r="A415" s="25" t="s">
        <v>62</v>
      </c>
      <c r="B415" s="25">
        <v>30</v>
      </c>
      <c r="C415" s="25" t="s">
        <v>579</v>
      </c>
      <c r="D415" s="25" t="s">
        <v>566</v>
      </c>
      <c r="E415" s="25" t="s">
        <v>108</v>
      </c>
      <c r="F415" s="27">
        <v>54</v>
      </c>
      <c r="G415" s="27">
        <v>3</v>
      </c>
      <c r="H415" s="29">
        <v>7.16</v>
      </c>
      <c r="I415" s="29">
        <v>386.87</v>
      </c>
      <c r="J415" s="8">
        <f>IF(OR(A415="",I415=""),"",IF(SUMIFS($I$8:$I$657,$A$8:$A$657,A415)=0,"",I415*SUMIFS('Facturas y gastos'!$D$10:$D$13,'Facturas y gastos'!$A$10:$A$13,A415)/SUMIFS($I$8:$I$657,$A$8:$A$657,A415)))</f>
        <v>386.87008453011674</v>
      </c>
      <c r="K415" s="8">
        <f>IF(J415="","",IF(SUMIFS('Facturas y gastos'!$D$10:$D$13,'Facturas y gastos'!$A$10:$A$13,A415)=0,"",J415*SUMIFS('Facturas y gastos'!$G$10:$G$13,'Facturas y gastos'!$A$10:$A$13,A415)/SUMIFS('Facturas y gastos'!$D$10:$D$13,'Facturas y gastos'!$A$10:$A$13,A415)))</f>
        <v>3.8686898563859815</v>
      </c>
      <c r="L415" s="8">
        <f>IF(J415="","",IF(SUMIFS('Facturas y gastos'!$D$10:$D$13,'Facturas y gastos'!$A$10:$A$13,A415)=0,"",J415*SUMIFS('Facturas y gastos'!$H$10:$H$13,'Facturas y gastos'!$A$10:$A$13,A415)/SUMIFS('Facturas y gastos'!$D$10:$D$13,'Facturas y gastos'!$A$10:$A$13,A415)))</f>
        <v>11.606069569157945</v>
      </c>
      <c r="M415" s="8">
        <f>IF(J415="","",IF(SUMIFS('Facturas y gastos'!$D$10:$D$13,'Facturas y gastos'!$A$10:$A$13,A415)=0,"",J415*SUMIFS('Facturas y gastos'!$I$10:$I$13,'Facturas y gastos'!$A$10:$A$13,A415)/SUMIFS('Facturas y gastos'!$D$10:$D$13,'Facturas y gastos'!$A$10:$A$13,A415)))</f>
        <v>66.778792285815655</v>
      </c>
      <c r="N415" s="8">
        <f>IF(J415="","",IF(SUMIFS('Facturas y gastos'!$D$10:$D$13,'Facturas y gastos'!$A$10:$A$13,A415)=0,"",J415*SUMIFS('Facturas y gastos'!$J$10:$J$13,'Facturas y gastos'!$A$10:$A$13,A415)/SUMIFS('Facturas y gastos'!$D$10:$D$13,'Facturas y gastos'!$A$10:$A$13,A415)))</f>
        <v>0</v>
      </c>
      <c r="O415" s="8">
        <f t="shared" si="12"/>
        <v>461.38625652870439</v>
      </c>
      <c r="P415" s="8" t="str">
        <f>IF(OR(O415="",'Facturas y gastos'!$B$24="",'Facturas y gastos'!$B$45&lt;&gt;"OK",SUM($O$8:$O$657)=0),"",O415*'Facturas y gastos'!$B$43/SUM($O$8:$O$657))</f>
        <v/>
      </c>
      <c r="Q415" s="8" t="str">
        <f>IF(OR(O415="",'Facturas y gastos'!$B$5="",P415=""),"",O415*'Facturas y gastos'!$B$5+P415)</f>
        <v/>
      </c>
      <c r="R415" s="8" t="str">
        <f t="shared" si="13"/>
        <v/>
      </c>
    </row>
    <row r="416" spans="1:18">
      <c r="A416" s="25" t="s">
        <v>62</v>
      </c>
      <c r="B416" s="25">
        <v>31</v>
      </c>
      <c r="C416" s="25" t="s">
        <v>580</v>
      </c>
      <c r="D416" s="25" t="s">
        <v>566</v>
      </c>
      <c r="E416" s="25" t="s">
        <v>108</v>
      </c>
      <c r="F416" s="27">
        <v>48</v>
      </c>
      <c r="G416" s="27">
        <v>4</v>
      </c>
      <c r="H416" s="29">
        <v>3.43</v>
      </c>
      <c r="I416" s="29">
        <v>164.78</v>
      </c>
      <c r="J416" s="8">
        <f>IF(OR(A416="",I416=""),"",IF(SUMIFS($I$8:$I$657,$A$8:$A$657,A416)=0,"",I416*SUMIFS('Facturas y gastos'!$D$10:$D$13,'Facturas y gastos'!$A$10:$A$13,A416)/SUMIFS($I$8:$I$657,$A$8:$A$657,A416)))</f>
        <v>164.78003600401334</v>
      </c>
      <c r="K416" s="8">
        <f>IF(J416="","",IF(SUMIFS('Facturas y gastos'!$D$10:$D$13,'Facturas y gastos'!$A$10:$A$13,A416)=0,"",J416*SUMIFS('Facturas y gastos'!$G$10:$G$13,'Facturas y gastos'!$A$10:$A$13,A416)/SUMIFS('Facturas y gastos'!$D$10:$D$13,'Facturas y gastos'!$A$10:$A$13,A416)))</f>
        <v>1.6477956795183966</v>
      </c>
      <c r="L416" s="8">
        <f>IF(J416="","",IF(SUMIFS('Facturas y gastos'!$D$10:$D$13,'Facturas y gastos'!$A$10:$A$13,A416)=0,"",J416*SUMIFS('Facturas y gastos'!$H$10:$H$13,'Facturas y gastos'!$A$10:$A$13,A416)/SUMIFS('Facturas y gastos'!$D$10:$D$13,'Facturas y gastos'!$A$10:$A$13,A416)))</f>
        <v>4.9433870385551897</v>
      </c>
      <c r="M416" s="8">
        <f>IF(J416="","",IF(SUMIFS('Facturas y gastos'!$D$10:$D$13,'Facturas y gastos'!$A$10:$A$13,A416)=0,"",J416*SUMIFS('Facturas y gastos'!$I$10:$I$13,'Facturas y gastos'!$A$10:$A$13,A416)/SUMIFS('Facturas y gastos'!$D$10:$D$13,'Facturas y gastos'!$A$10:$A$13,A416)))</f>
        <v>28.443170555630331</v>
      </c>
      <c r="N416" s="8">
        <f>IF(J416="","",IF(SUMIFS('Facturas y gastos'!$D$10:$D$13,'Facturas y gastos'!$A$10:$A$13,A416)=0,"",J416*SUMIFS('Facturas y gastos'!$J$10:$J$13,'Facturas y gastos'!$A$10:$A$13,A416)/SUMIFS('Facturas y gastos'!$D$10:$D$13,'Facturas y gastos'!$A$10:$A$13,A416)))</f>
        <v>0</v>
      </c>
      <c r="O416" s="8">
        <f t="shared" si="12"/>
        <v>196.51879791868046</v>
      </c>
      <c r="P416" s="8" t="str">
        <f>IF(OR(O416="",'Facturas y gastos'!$B$24="",'Facturas y gastos'!$B$45&lt;&gt;"OK",SUM($O$8:$O$657)=0),"",O416*'Facturas y gastos'!$B$43/SUM($O$8:$O$657))</f>
        <v/>
      </c>
      <c r="Q416" s="8" t="str">
        <f>IF(OR(O416="",'Facturas y gastos'!$B$5="",P416=""),"",O416*'Facturas y gastos'!$B$5+P416)</f>
        <v/>
      </c>
      <c r="R416" s="8" t="str">
        <f t="shared" si="13"/>
        <v/>
      </c>
    </row>
    <row r="417" spans="1:18">
      <c r="A417" s="25" t="s">
        <v>62</v>
      </c>
      <c r="B417" s="25">
        <v>32</v>
      </c>
      <c r="C417" s="25" t="s">
        <v>581</v>
      </c>
      <c r="D417" s="25" t="s">
        <v>566</v>
      </c>
      <c r="E417" s="25" t="s">
        <v>108</v>
      </c>
      <c r="F417" s="27">
        <v>54</v>
      </c>
      <c r="G417" s="27">
        <v>3</v>
      </c>
      <c r="H417" s="29">
        <v>7.46</v>
      </c>
      <c r="I417" s="29">
        <v>402.99</v>
      </c>
      <c r="J417" s="8">
        <f>IF(OR(A417="",I417=""),"",IF(SUMIFS($I$8:$I$657,$A$8:$A$657,A417)=0,"",I417*SUMIFS('Facturas y gastos'!$D$10:$D$13,'Facturas y gastos'!$A$10:$A$13,A417)/SUMIFS($I$8:$I$657,$A$8:$A$657,A417)))</f>
        <v>402.99008805229602</v>
      </c>
      <c r="K417" s="8">
        <f>IF(J417="","",IF(SUMIFS('Facturas y gastos'!$D$10:$D$13,'Facturas y gastos'!$A$10:$A$13,A417)=0,"",J417*SUMIFS('Facturas y gastos'!$G$10:$G$13,'Facturas y gastos'!$A$10:$A$13,A417)/SUMIFS('Facturas y gastos'!$D$10:$D$13,'Facturas y gastos'!$A$10:$A$13,A417)))</f>
        <v>4.0298894337244731</v>
      </c>
      <c r="L417" s="8">
        <f>IF(J417="","",IF(SUMIFS('Facturas y gastos'!$D$10:$D$13,'Facturas y gastos'!$A$10:$A$13,A417)=0,"",J417*SUMIFS('Facturas y gastos'!$H$10:$H$13,'Facturas y gastos'!$A$10:$A$13,A417)/SUMIFS('Facturas y gastos'!$D$10:$D$13,'Facturas y gastos'!$A$10:$A$13,A417)))</f>
        <v>12.089668301173418</v>
      </c>
      <c r="M417" s="8">
        <f>IF(J417="","",IF(SUMIFS('Facturas y gastos'!$D$10:$D$13,'Facturas y gastos'!$A$10:$A$13,A417)=0,"",J417*SUMIFS('Facturas y gastos'!$I$10:$I$13,'Facturas y gastos'!$A$10:$A$13,A417)/SUMIFS('Facturas y gastos'!$D$10:$D$13,'Facturas y gastos'!$A$10:$A$13,A417)))</f>
        <v>69.561313886475702</v>
      </c>
      <c r="N417" s="8">
        <f>IF(J417="","",IF(SUMIFS('Facturas y gastos'!$D$10:$D$13,'Facturas y gastos'!$A$10:$A$13,A417)=0,"",J417*SUMIFS('Facturas y gastos'!$J$10:$J$13,'Facturas y gastos'!$A$10:$A$13,A417)/SUMIFS('Facturas y gastos'!$D$10:$D$13,'Facturas y gastos'!$A$10:$A$13,A417)))</f>
        <v>0</v>
      </c>
      <c r="O417" s="8">
        <f t="shared" si="12"/>
        <v>480.61118080622072</v>
      </c>
      <c r="P417" s="8" t="str">
        <f>IF(OR(O417="",'Facturas y gastos'!$B$24="",'Facturas y gastos'!$B$45&lt;&gt;"OK",SUM($O$8:$O$657)=0),"",O417*'Facturas y gastos'!$B$43/SUM($O$8:$O$657))</f>
        <v/>
      </c>
      <c r="Q417" s="8" t="str">
        <f>IF(OR(O417="",'Facturas y gastos'!$B$5="",P417=""),"",O417*'Facturas y gastos'!$B$5+P417)</f>
        <v/>
      </c>
      <c r="R417" s="8" t="str">
        <f t="shared" si="13"/>
        <v/>
      </c>
    </row>
    <row r="418" spans="1:18">
      <c r="A418" s="25" t="s">
        <v>62</v>
      </c>
      <c r="B418" s="25">
        <v>33</v>
      </c>
      <c r="C418" s="25" t="s">
        <v>582</v>
      </c>
      <c r="D418" s="25" t="s">
        <v>566</v>
      </c>
      <c r="E418" s="25" t="s">
        <v>108</v>
      </c>
      <c r="F418" s="27">
        <v>72</v>
      </c>
      <c r="G418" s="27">
        <v>3</v>
      </c>
      <c r="H418" s="29">
        <v>5.22</v>
      </c>
      <c r="I418" s="29">
        <v>376.12</v>
      </c>
      <c r="J418" s="8">
        <f>IF(OR(A418="",I418=""),"",IF(SUMIFS($I$8:$I$657,$A$8:$A$657,A418)=0,"",I418*SUMIFS('Facturas y gastos'!$D$10:$D$13,'Facturas y gastos'!$A$10:$A$13,A418)/SUMIFS($I$8:$I$657,$A$8:$A$657,A418)))</f>
        <v>376.12008218126891</v>
      </c>
      <c r="K418" s="8">
        <f>IF(J418="","",IF(SUMIFS('Facturas y gastos'!$D$10:$D$13,'Facturas y gastos'!$A$10:$A$13,A418)=0,"",J418*SUMIFS('Facturas y gastos'!$G$10:$G$13,'Facturas y gastos'!$A$10:$A$13,A418)/SUMIFS('Facturas y gastos'!$D$10:$D$13,'Facturas y gastos'!$A$10:$A$13,A418)))</f>
        <v>3.7611901382477195</v>
      </c>
      <c r="L418" s="8">
        <f>IF(J418="","",IF(SUMIFS('Facturas y gastos'!$D$10:$D$13,'Facturas y gastos'!$A$10:$A$13,A418)=0,"",J418*SUMIFS('Facturas y gastos'!$H$10:$H$13,'Facturas y gastos'!$A$10:$A$13,A418)/SUMIFS('Facturas y gastos'!$D$10:$D$13,'Facturas y gastos'!$A$10:$A$13,A418)))</f>
        <v>11.283570414743158</v>
      </c>
      <c r="M418" s="8">
        <f>IF(J418="","",IF(SUMIFS('Facturas y gastos'!$D$10:$D$13,'Facturas y gastos'!$A$10:$A$13,A418)=0,"",J418*SUMIFS('Facturas y gastos'!$I$10:$I$13,'Facturas y gastos'!$A$10:$A$13,A418)/SUMIFS('Facturas y gastos'!$D$10:$D$13,'Facturas y gastos'!$A$10:$A$13,A418)))</f>
        <v>64.923202508700555</v>
      </c>
      <c r="N418" s="8">
        <f>IF(J418="","",IF(SUMIFS('Facturas y gastos'!$D$10:$D$13,'Facturas y gastos'!$A$10:$A$13,A418)=0,"",J418*SUMIFS('Facturas y gastos'!$J$10:$J$13,'Facturas y gastos'!$A$10:$A$13,A418)/SUMIFS('Facturas y gastos'!$D$10:$D$13,'Facturas y gastos'!$A$10:$A$13,A418)))</f>
        <v>0</v>
      </c>
      <c r="O418" s="8">
        <f t="shared" si="12"/>
        <v>448.56566496646491</v>
      </c>
      <c r="P418" s="8" t="str">
        <f>IF(OR(O418="",'Facturas y gastos'!$B$24="",'Facturas y gastos'!$B$45&lt;&gt;"OK",SUM($O$8:$O$657)=0),"",O418*'Facturas y gastos'!$B$43/SUM($O$8:$O$657))</f>
        <v/>
      </c>
      <c r="Q418" s="8" t="str">
        <f>IF(OR(O418="",'Facturas y gastos'!$B$5="",P418=""),"",O418*'Facturas y gastos'!$B$5+P418)</f>
        <v/>
      </c>
      <c r="R418" s="8" t="str">
        <f t="shared" si="13"/>
        <v/>
      </c>
    </row>
    <row r="419" spans="1:18">
      <c r="A419" s="25" t="s">
        <v>62</v>
      </c>
      <c r="B419" s="25">
        <v>34</v>
      </c>
      <c r="C419" s="25" t="s">
        <v>583</v>
      </c>
      <c r="D419" s="25" t="s">
        <v>566</v>
      </c>
      <c r="E419" s="25" t="s">
        <v>108</v>
      </c>
      <c r="F419" s="27">
        <v>24</v>
      </c>
      <c r="G419" s="27">
        <v>3</v>
      </c>
      <c r="H419" s="29">
        <v>6.42</v>
      </c>
      <c r="I419" s="29">
        <v>154.03</v>
      </c>
      <c r="J419" s="8">
        <f>IF(OR(A419="",I419=""),"",IF(SUMIFS($I$8:$I$657,$A$8:$A$657,A419)=0,"",I419*SUMIFS('Facturas y gastos'!$D$10:$D$13,'Facturas y gastos'!$A$10:$A$13,A419)/SUMIFS($I$8:$I$657,$A$8:$A$657,A419)))</f>
        <v>154.03003365516551</v>
      </c>
      <c r="K419" s="8">
        <f>IF(J419="","",IF(SUMIFS('Facturas y gastos'!$D$10:$D$13,'Facturas y gastos'!$A$10:$A$13,A419)=0,"",J419*SUMIFS('Facturas y gastos'!$G$10:$G$13,'Facturas y gastos'!$A$10:$A$13,A419)/SUMIFS('Facturas y gastos'!$D$10:$D$13,'Facturas y gastos'!$A$10:$A$13,A419)))</f>
        <v>1.5402959613801346</v>
      </c>
      <c r="L419" s="8">
        <f>IF(J419="","",IF(SUMIFS('Facturas y gastos'!$D$10:$D$13,'Facturas y gastos'!$A$10:$A$13,A419)=0,"",J419*SUMIFS('Facturas y gastos'!$H$10:$H$13,'Facturas y gastos'!$A$10:$A$13,A419)/SUMIFS('Facturas y gastos'!$D$10:$D$13,'Facturas y gastos'!$A$10:$A$13,A419)))</f>
        <v>4.6208878841404042</v>
      </c>
      <c r="M419" s="8">
        <f>IF(J419="","",IF(SUMIFS('Facturas y gastos'!$D$10:$D$13,'Facturas y gastos'!$A$10:$A$13,A419)=0,"",J419*SUMIFS('Facturas y gastos'!$I$10:$I$13,'Facturas y gastos'!$A$10:$A$13,A419)/SUMIFS('Facturas y gastos'!$D$10:$D$13,'Facturas y gastos'!$A$10:$A$13,A419)))</f>
        <v>26.587580778515225</v>
      </c>
      <c r="N419" s="8">
        <f>IF(J419="","",IF(SUMIFS('Facturas y gastos'!$D$10:$D$13,'Facturas y gastos'!$A$10:$A$13,A419)=0,"",J419*SUMIFS('Facturas y gastos'!$J$10:$J$13,'Facturas y gastos'!$A$10:$A$13,A419)/SUMIFS('Facturas y gastos'!$D$10:$D$13,'Facturas y gastos'!$A$10:$A$13,A419)))</f>
        <v>0</v>
      </c>
      <c r="O419" s="8">
        <f t="shared" si="12"/>
        <v>183.69820635644101</v>
      </c>
      <c r="P419" s="8" t="str">
        <f>IF(OR(O419="",'Facturas y gastos'!$B$24="",'Facturas y gastos'!$B$45&lt;&gt;"OK",SUM($O$8:$O$657)=0),"",O419*'Facturas y gastos'!$B$43/SUM($O$8:$O$657))</f>
        <v/>
      </c>
      <c r="Q419" s="8" t="str">
        <f>IF(OR(O419="",'Facturas y gastos'!$B$5="",P419=""),"",O419*'Facturas y gastos'!$B$5+P419)</f>
        <v/>
      </c>
      <c r="R419" s="8" t="str">
        <f t="shared" si="13"/>
        <v/>
      </c>
    </row>
    <row r="420" spans="1:18">
      <c r="A420" s="25" t="s">
        <v>62</v>
      </c>
      <c r="B420" s="25">
        <v>35</v>
      </c>
      <c r="C420" s="25" t="s">
        <v>584</v>
      </c>
      <c r="D420" s="25" t="s">
        <v>566</v>
      </c>
      <c r="E420" s="25" t="s">
        <v>108</v>
      </c>
      <c r="F420" s="27">
        <v>36</v>
      </c>
      <c r="G420" s="27">
        <v>3</v>
      </c>
      <c r="H420" s="29">
        <v>7.46</v>
      </c>
      <c r="I420" s="29">
        <v>268.66000000000003</v>
      </c>
      <c r="J420" s="8">
        <f>IF(OR(A420="",I420=""),"",IF(SUMIFS($I$8:$I$657,$A$8:$A$657,A420)=0,"",I420*SUMIFS('Facturas y gastos'!$D$10:$D$13,'Facturas y gastos'!$A$10:$A$13,A420)/SUMIFS($I$8:$I$657,$A$8:$A$657,A420)))</f>
        <v>268.66005870153072</v>
      </c>
      <c r="K420" s="8">
        <f>IF(J420="","",IF(SUMIFS('Facturas y gastos'!$D$10:$D$13,'Facturas y gastos'!$A$10:$A$13,A420)=0,"",J420*SUMIFS('Facturas y gastos'!$G$10:$G$13,'Facturas y gastos'!$A$10:$A$13,A420)/SUMIFS('Facturas y gastos'!$D$10:$D$13,'Facturas y gastos'!$A$10:$A$13,A420)))</f>
        <v>2.6865929558163155</v>
      </c>
      <c r="L420" s="8">
        <f>IF(J420="","",IF(SUMIFS('Facturas y gastos'!$D$10:$D$13,'Facturas y gastos'!$A$10:$A$13,A420)=0,"",J420*SUMIFS('Facturas y gastos'!$H$10:$H$13,'Facturas y gastos'!$A$10:$A$13,A420)/SUMIFS('Facturas y gastos'!$D$10:$D$13,'Facturas y gastos'!$A$10:$A$13,A420)))</f>
        <v>8.0597788674489461</v>
      </c>
      <c r="M420" s="8">
        <f>IF(J420="","",IF(SUMIFS('Facturas y gastos'!$D$10:$D$13,'Facturas y gastos'!$A$10:$A$13,A420)=0,"",J420*SUMIFS('Facturas y gastos'!$I$10:$I$13,'Facturas y gastos'!$A$10:$A$13,A420)/SUMIFS('Facturas y gastos'!$D$10:$D$13,'Facturas y gastos'!$A$10:$A$13,A420)))</f>
        <v>46.374209257650477</v>
      </c>
      <c r="N420" s="8">
        <f>IF(J420="","",IF(SUMIFS('Facturas y gastos'!$D$10:$D$13,'Facturas y gastos'!$A$10:$A$13,A420)=0,"",J420*SUMIFS('Facturas y gastos'!$J$10:$J$13,'Facturas y gastos'!$A$10:$A$13,A420)/SUMIFS('Facturas y gastos'!$D$10:$D$13,'Facturas y gastos'!$A$10:$A$13,A420)))</f>
        <v>0</v>
      </c>
      <c r="O420" s="8">
        <f t="shared" si="12"/>
        <v>320.40745387081381</v>
      </c>
      <c r="P420" s="8" t="str">
        <f>IF(OR(O420="",'Facturas y gastos'!$B$24="",'Facturas y gastos'!$B$45&lt;&gt;"OK",SUM($O$8:$O$657)=0),"",O420*'Facturas y gastos'!$B$43/SUM($O$8:$O$657))</f>
        <v/>
      </c>
      <c r="Q420" s="8" t="str">
        <f>IF(OR(O420="",'Facturas y gastos'!$B$5="",P420=""),"",O420*'Facturas y gastos'!$B$5+P420)</f>
        <v/>
      </c>
      <c r="R420" s="8" t="str">
        <f t="shared" si="13"/>
        <v/>
      </c>
    </row>
    <row r="421" spans="1:18">
      <c r="A421" s="25" t="s">
        <v>62</v>
      </c>
      <c r="B421" s="25">
        <v>36</v>
      </c>
      <c r="C421" s="25" t="s">
        <v>585</v>
      </c>
      <c r="D421" s="25" t="s">
        <v>566</v>
      </c>
      <c r="E421" s="25" t="s">
        <v>108</v>
      </c>
      <c r="F421" s="27">
        <v>54</v>
      </c>
      <c r="G421" s="27">
        <v>3</v>
      </c>
      <c r="H421" s="29">
        <v>7.46</v>
      </c>
      <c r="I421" s="29">
        <v>402.99</v>
      </c>
      <c r="J421" s="8">
        <f>IF(OR(A421="",I421=""),"",IF(SUMIFS($I$8:$I$657,$A$8:$A$657,A421)=0,"",I421*SUMIFS('Facturas y gastos'!$D$10:$D$13,'Facturas y gastos'!$A$10:$A$13,A421)/SUMIFS($I$8:$I$657,$A$8:$A$657,A421)))</f>
        <v>402.99008805229602</v>
      </c>
      <c r="K421" s="8">
        <f>IF(J421="","",IF(SUMIFS('Facturas y gastos'!$D$10:$D$13,'Facturas y gastos'!$A$10:$A$13,A421)=0,"",J421*SUMIFS('Facturas y gastos'!$G$10:$G$13,'Facturas y gastos'!$A$10:$A$13,A421)/SUMIFS('Facturas y gastos'!$D$10:$D$13,'Facturas y gastos'!$A$10:$A$13,A421)))</f>
        <v>4.0298894337244731</v>
      </c>
      <c r="L421" s="8">
        <f>IF(J421="","",IF(SUMIFS('Facturas y gastos'!$D$10:$D$13,'Facturas y gastos'!$A$10:$A$13,A421)=0,"",J421*SUMIFS('Facturas y gastos'!$H$10:$H$13,'Facturas y gastos'!$A$10:$A$13,A421)/SUMIFS('Facturas y gastos'!$D$10:$D$13,'Facturas y gastos'!$A$10:$A$13,A421)))</f>
        <v>12.089668301173418</v>
      </c>
      <c r="M421" s="8">
        <f>IF(J421="","",IF(SUMIFS('Facturas y gastos'!$D$10:$D$13,'Facturas y gastos'!$A$10:$A$13,A421)=0,"",J421*SUMIFS('Facturas y gastos'!$I$10:$I$13,'Facturas y gastos'!$A$10:$A$13,A421)/SUMIFS('Facturas y gastos'!$D$10:$D$13,'Facturas y gastos'!$A$10:$A$13,A421)))</f>
        <v>69.561313886475702</v>
      </c>
      <c r="N421" s="8">
        <f>IF(J421="","",IF(SUMIFS('Facturas y gastos'!$D$10:$D$13,'Facturas y gastos'!$A$10:$A$13,A421)=0,"",J421*SUMIFS('Facturas y gastos'!$J$10:$J$13,'Facturas y gastos'!$A$10:$A$13,A421)/SUMIFS('Facturas y gastos'!$D$10:$D$13,'Facturas y gastos'!$A$10:$A$13,A421)))</f>
        <v>0</v>
      </c>
      <c r="O421" s="8">
        <f t="shared" si="12"/>
        <v>480.61118080622072</v>
      </c>
      <c r="P421" s="8" t="str">
        <f>IF(OR(O421="",'Facturas y gastos'!$B$24="",'Facturas y gastos'!$B$45&lt;&gt;"OK",SUM($O$8:$O$657)=0),"",O421*'Facturas y gastos'!$B$43/SUM($O$8:$O$657))</f>
        <v/>
      </c>
      <c r="Q421" s="8" t="str">
        <f>IF(OR(O421="",'Facturas y gastos'!$B$5="",P421=""),"",O421*'Facturas y gastos'!$B$5+P421)</f>
        <v/>
      </c>
      <c r="R421" s="8" t="str">
        <f t="shared" si="13"/>
        <v/>
      </c>
    </row>
    <row r="422" spans="1:18">
      <c r="A422" s="25" t="s">
        <v>62</v>
      </c>
      <c r="B422" s="25">
        <v>37</v>
      </c>
      <c r="C422" s="25" t="s">
        <v>586</v>
      </c>
      <c r="D422" s="25" t="s">
        <v>566</v>
      </c>
      <c r="E422" s="25" t="s">
        <v>108</v>
      </c>
      <c r="F422" s="27">
        <v>72</v>
      </c>
      <c r="G422" s="27">
        <v>3</v>
      </c>
      <c r="H422" s="29">
        <v>5.97</v>
      </c>
      <c r="I422" s="29">
        <v>429.85</v>
      </c>
      <c r="J422" s="8">
        <f>IF(OR(A422="",I422=""),"",IF(SUMIFS($I$8:$I$657,$A$8:$A$657,A422)=0,"",I422*SUMIFS('Facturas y gastos'!$D$10:$D$13,'Facturas y gastos'!$A$10:$A$13,A422)/SUMIFS($I$8:$I$657,$A$8:$A$657,A422)))</f>
        <v>429.85009392113813</v>
      </c>
      <c r="K422" s="8">
        <f>IF(J422="","",IF(SUMIFS('Facturas y gastos'!$D$10:$D$13,'Facturas y gastos'!$A$10:$A$13,A422)=0,"",J422*SUMIFS('Facturas y gastos'!$G$10:$G$13,'Facturas y gastos'!$A$10:$A$13,A422)/SUMIFS('Facturas y gastos'!$D$10:$D$13,'Facturas y gastos'!$A$10:$A$13,A422)))</f>
        <v>4.2984887294634229</v>
      </c>
      <c r="L422" s="8">
        <f>IF(J422="","",IF(SUMIFS('Facturas y gastos'!$D$10:$D$13,'Facturas y gastos'!$A$10:$A$13,A422)=0,"",J422*SUMIFS('Facturas y gastos'!$H$10:$H$13,'Facturas y gastos'!$A$10:$A$13,A422)/SUMIFS('Facturas y gastos'!$D$10:$D$13,'Facturas y gastos'!$A$10:$A$13,A422)))</f>
        <v>12.895466188390268</v>
      </c>
      <c r="M422" s="8">
        <f>IF(J422="","",IF(SUMIFS('Facturas y gastos'!$D$10:$D$13,'Facturas y gastos'!$A$10:$A$13,A422)=0,"",J422*SUMIFS('Facturas y gastos'!$I$10:$I$13,'Facturas y gastos'!$A$10:$A$13,A422)/SUMIFS('Facturas y gastos'!$D$10:$D$13,'Facturas y gastos'!$A$10:$A$13,A422)))</f>
        <v>74.197699134225616</v>
      </c>
      <c r="N422" s="8">
        <f>IF(J422="","",IF(SUMIFS('Facturas y gastos'!$D$10:$D$13,'Facturas y gastos'!$A$10:$A$13,A422)=0,"",J422*SUMIFS('Facturas y gastos'!$J$10:$J$13,'Facturas y gastos'!$A$10:$A$13,A422)/SUMIFS('Facturas y gastos'!$D$10:$D$13,'Facturas y gastos'!$A$10:$A$13,A422)))</f>
        <v>0</v>
      </c>
      <c r="O422" s="8">
        <f t="shared" si="12"/>
        <v>512.6447705142906</v>
      </c>
      <c r="P422" s="8" t="str">
        <f>IF(OR(O422="",'Facturas y gastos'!$B$24="",'Facturas y gastos'!$B$45&lt;&gt;"OK",SUM($O$8:$O$657)=0),"",O422*'Facturas y gastos'!$B$43/SUM($O$8:$O$657))</f>
        <v/>
      </c>
      <c r="Q422" s="8" t="str">
        <f>IF(OR(O422="",'Facturas y gastos'!$B$5="",P422=""),"",O422*'Facturas y gastos'!$B$5+P422)</f>
        <v/>
      </c>
      <c r="R422" s="8" t="str">
        <f t="shared" si="13"/>
        <v/>
      </c>
    </row>
    <row r="423" spans="1:18">
      <c r="A423" s="25" t="s">
        <v>62</v>
      </c>
      <c r="B423" s="25">
        <v>38</v>
      </c>
      <c r="C423" s="25" t="s">
        <v>587</v>
      </c>
      <c r="D423" s="25" t="s">
        <v>566</v>
      </c>
      <c r="E423" s="25" t="s">
        <v>108</v>
      </c>
      <c r="F423" s="27">
        <v>72</v>
      </c>
      <c r="G423" s="27">
        <v>3</v>
      </c>
      <c r="H423" s="29">
        <v>3.88</v>
      </c>
      <c r="I423" s="29">
        <v>279.39999999999998</v>
      </c>
      <c r="J423" s="8">
        <f>IF(OR(A423="",I423=""),"",IF(SUMIFS($I$8:$I$657,$A$8:$A$657,A423)=0,"",I423*SUMIFS('Facturas y gastos'!$D$10:$D$13,'Facturas y gastos'!$A$10:$A$13,A423)/SUMIFS($I$8:$I$657,$A$8:$A$657,A423)))</f>
        <v>279.40006104819349</v>
      </c>
      <c r="K423" s="8">
        <f>IF(J423="","",IF(SUMIFS('Facturas y gastos'!$D$10:$D$13,'Facturas y gastos'!$A$10:$A$13,A423)=0,"",J423*SUMIFS('Facturas y gastos'!$G$10:$G$13,'Facturas y gastos'!$A$10:$A$13,A423)/SUMIFS('Facturas y gastos'!$D$10:$D$13,'Facturas y gastos'!$A$10:$A$13,A423)))</f>
        <v>2.7939926742167738</v>
      </c>
      <c r="L423" s="8">
        <f>IF(J423="","",IF(SUMIFS('Facturas y gastos'!$D$10:$D$13,'Facturas y gastos'!$A$10:$A$13,A423)=0,"",J423*SUMIFS('Facturas y gastos'!$H$10:$H$13,'Facturas y gastos'!$A$10:$A$13,A423)/SUMIFS('Facturas y gastos'!$D$10:$D$13,'Facturas y gastos'!$A$10:$A$13,A423)))</f>
        <v>8.3819780226503209</v>
      </c>
      <c r="M423" s="8">
        <f>IF(J423="","",IF(SUMIFS('Facturas y gastos'!$D$10:$D$13,'Facturas y gastos'!$A$10:$A$13,A423)=0,"",J423*SUMIFS('Facturas y gastos'!$I$10:$I$13,'Facturas y gastos'!$A$10:$A$13,A423)/SUMIFS('Facturas y gastos'!$D$10:$D$13,'Facturas y gastos'!$A$10:$A$13,A423)))</f>
        <v>48.228072904740337</v>
      </c>
      <c r="N423" s="8">
        <f>IF(J423="","",IF(SUMIFS('Facturas y gastos'!$D$10:$D$13,'Facturas y gastos'!$A$10:$A$13,A423)=0,"",J423*SUMIFS('Facturas y gastos'!$J$10:$J$13,'Facturas y gastos'!$A$10:$A$13,A423)/SUMIFS('Facturas y gastos'!$D$10:$D$13,'Facturas y gastos'!$A$10:$A$13,A423)))</f>
        <v>0</v>
      </c>
      <c r="O423" s="8">
        <f t="shared" si="12"/>
        <v>333.21611930136737</v>
      </c>
      <c r="P423" s="8" t="str">
        <f>IF(OR(O423="",'Facturas y gastos'!$B$24="",'Facturas y gastos'!$B$45&lt;&gt;"OK",SUM($O$8:$O$657)=0),"",O423*'Facturas y gastos'!$B$43/SUM($O$8:$O$657))</f>
        <v/>
      </c>
      <c r="Q423" s="8" t="str">
        <f>IF(OR(O423="",'Facturas y gastos'!$B$5="",P423=""),"",O423*'Facturas y gastos'!$B$5+P423)</f>
        <v/>
      </c>
      <c r="R423" s="8" t="str">
        <f t="shared" si="13"/>
        <v/>
      </c>
    </row>
    <row r="424" spans="1:18">
      <c r="A424" s="25" t="s">
        <v>62</v>
      </c>
      <c r="B424" s="25">
        <v>39</v>
      </c>
      <c r="C424" s="25" t="s">
        <v>588</v>
      </c>
      <c r="D424" s="25" t="s">
        <v>566</v>
      </c>
      <c r="E424" s="25" t="s">
        <v>108</v>
      </c>
      <c r="F424" s="27">
        <v>18</v>
      </c>
      <c r="G424" s="27">
        <v>3</v>
      </c>
      <c r="H424" s="29">
        <v>13.73</v>
      </c>
      <c r="I424" s="29">
        <v>247.16</v>
      </c>
      <c r="J424" s="8">
        <f>IF(OR(A424="",I424=""),"",IF(SUMIFS($I$8:$I$657,$A$8:$A$657,A424)=0,"",I424*SUMIFS('Facturas y gastos'!$D$10:$D$13,'Facturas y gastos'!$A$10:$A$13,A424)/SUMIFS($I$8:$I$657,$A$8:$A$657,A424)))</f>
        <v>247.16005400383503</v>
      </c>
      <c r="K424" s="8">
        <f>IF(J424="","",IF(SUMIFS('Facturas y gastos'!$D$10:$D$13,'Facturas y gastos'!$A$10:$A$13,A424)=0,"",J424*SUMIFS('Facturas y gastos'!$G$10:$G$13,'Facturas y gastos'!$A$10:$A$13,A424)/SUMIFS('Facturas y gastos'!$D$10:$D$13,'Facturas y gastos'!$A$10:$A$13,A424)))</f>
        <v>2.471593519539792</v>
      </c>
      <c r="L424" s="8">
        <f>IF(J424="","",IF(SUMIFS('Facturas y gastos'!$D$10:$D$13,'Facturas y gastos'!$A$10:$A$13,A424)=0,"",J424*SUMIFS('Facturas y gastos'!$H$10:$H$13,'Facturas y gastos'!$A$10:$A$13,A424)/SUMIFS('Facturas y gastos'!$D$10:$D$13,'Facturas y gastos'!$A$10:$A$13,A424)))</f>
        <v>7.4147805586193751</v>
      </c>
      <c r="M424" s="8">
        <f>IF(J424="","",IF(SUMIFS('Facturas y gastos'!$D$10:$D$13,'Facturas y gastos'!$A$10:$A$13,A424)=0,"",J424*SUMIFS('Facturas y gastos'!$I$10:$I$13,'Facturas y gastos'!$A$10:$A$13,A424)/SUMIFS('Facturas y gastos'!$D$10:$D$13,'Facturas y gastos'!$A$10:$A$13,A424)))</f>
        <v>42.663029703420271</v>
      </c>
      <c r="N424" s="8">
        <f>IF(J424="","",IF(SUMIFS('Facturas y gastos'!$D$10:$D$13,'Facturas y gastos'!$A$10:$A$13,A424)=0,"",J424*SUMIFS('Facturas y gastos'!$J$10:$J$13,'Facturas y gastos'!$A$10:$A$13,A424)/SUMIFS('Facturas y gastos'!$D$10:$D$13,'Facturas y gastos'!$A$10:$A$13,A424)))</f>
        <v>0</v>
      </c>
      <c r="O424" s="8">
        <f t="shared" si="12"/>
        <v>294.7662707463349</v>
      </c>
      <c r="P424" s="8" t="str">
        <f>IF(OR(O424="",'Facturas y gastos'!$B$24="",'Facturas y gastos'!$B$45&lt;&gt;"OK",SUM($O$8:$O$657)=0),"",O424*'Facturas y gastos'!$B$43/SUM($O$8:$O$657))</f>
        <v/>
      </c>
      <c r="Q424" s="8" t="str">
        <f>IF(OR(O424="",'Facturas y gastos'!$B$5="",P424=""),"",O424*'Facturas y gastos'!$B$5+P424)</f>
        <v/>
      </c>
      <c r="R424" s="8" t="str">
        <f t="shared" si="13"/>
        <v/>
      </c>
    </row>
    <row r="425" spans="1:18">
      <c r="A425" s="25" t="s">
        <v>62</v>
      </c>
      <c r="B425" s="25">
        <v>40</v>
      </c>
      <c r="C425" s="25" t="s">
        <v>589</v>
      </c>
      <c r="D425" s="25" t="s">
        <v>566</v>
      </c>
      <c r="E425" s="25" t="s">
        <v>108</v>
      </c>
      <c r="F425" s="27">
        <v>72</v>
      </c>
      <c r="G425" s="27">
        <v>3</v>
      </c>
      <c r="H425" s="29">
        <v>2.69</v>
      </c>
      <c r="I425" s="29">
        <v>193.43</v>
      </c>
      <c r="J425" s="8">
        <f>IF(OR(A425="",I425=""),"",IF(SUMIFS($I$8:$I$657,$A$8:$A$657,A425)=0,"",I425*SUMIFS('Facturas y gastos'!$D$10:$D$13,'Facturas y gastos'!$A$10:$A$13,A425)/SUMIFS($I$8:$I$657,$A$8:$A$657,A425)))</f>
        <v>193.43004226396593</v>
      </c>
      <c r="K425" s="8">
        <f>IF(J425="","",IF(SUMIFS('Facturas y gastos'!$D$10:$D$13,'Facturas y gastos'!$A$10:$A$13,A425)=0,"",J425*SUMIFS('Facturas y gastos'!$G$10:$G$13,'Facturas y gastos'!$A$10:$A$13,A425)/SUMIFS('Facturas y gastos'!$D$10:$D$13,'Facturas y gastos'!$A$10:$A$13,A425)))</f>
        <v>1.9342949283240898</v>
      </c>
      <c r="L425" s="8">
        <f>IF(J425="","",IF(SUMIFS('Facturas y gastos'!$D$10:$D$13,'Facturas y gastos'!$A$10:$A$13,A425)=0,"",J425*SUMIFS('Facturas y gastos'!$H$10:$H$13,'Facturas y gastos'!$A$10:$A$13,A425)/SUMIFS('Facturas y gastos'!$D$10:$D$13,'Facturas y gastos'!$A$10:$A$13,A425)))</f>
        <v>5.8028847849722691</v>
      </c>
      <c r="M425" s="8">
        <f>IF(J425="","",IF(SUMIFS('Facturas y gastos'!$D$10:$D$13,'Facturas y gastos'!$A$10:$A$13,A425)=0,"",J425*SUMIFS('Facturas y gastos'!$I$10:$I$13,'Facturas y gastos'!$A$10:$A$13,A425)/SUMIFS('Facturas y gastos'!$D$10:$D$13,'Facturas y gastos'!$A$10:$A$13,A425)))</f>
        <v>33.388533077895225</v>
      </c>
      <c r="N425" s="8">
        <f>IF(J425="","",IF(SUMIFS('Facturas y gastos'!$D$10:$D$13,'Facturas y gastos'!$A$10:$A$13,A425)=0,"",J425*SUMIFS('Facturas y gastos'!$J$10:$J$13,'Facturas y gastos'!$A$10:$A$13,A425)/SUMIFS('Facturas y gastos'!$D$10:$D$13,'Facturas y gastos'!$A$10:$A$13,A425)))</f>
        <v>0</v>
      </c>
      <c r="O425" s="8">
        <f t="shared" si="12"/>
        <v>230.68716519850935</v>
      </c>
      <c r="P425" s="8" t="str">
        <f>IF(OR(O425="",'Facturas y gastos'!$B$24="",'Facturas y gastos'!$B$45&lt;&gt;"OK",SUM($O$8:$O$657)=0),"",O425*'Facturas y gastos'!$B$43/SUM($O$8:$O$657))</f>
        <v/>
      </c>
      <c r="Q425" s="8" t="str">
        <f>IF(OR(O425="",'Facturas y gastos'!$B$5="",P425=""),"",O425*'Facturas y gastos'!$B$5+P425)</f>
        <v/>
      </c>
      <c r="R425" s="8" t="str">
        <f t="shared" si="13"/>
        <v/>
      </c>
    </row>
    <row r="426" spans="1:18">
      <c r="A426" s="25" t="s">
        <v>62</v>
      </c>
      <c r="B426" s="25">
        <v>41</v>
      </c>
      <c r="C426" s="25" t="s">
        <v>590</v>
      </c>
      <c r="D426" s="25" t="s">
        <v>591</v>
      </c>
      <c r="E426" s="25" t="s">
        <v>108</v>
      </c>
      <c r="F426" s="27">
        <v>72</v>
      </c>
      <c r="G426" s="27">
        <v>3</v>
      </c>
      <c r="H426" s="29">
        <v>2.99</v>
      </c>
      <c r="I426" s="29">
        <v>214.93</v>
      </c>
      <c r="J426" s="8">
        <f>IF(OR(A426="",I426=""),"",IF(SUMIFS($I$8:$I$657,$A$8:$A$657,A426)=0,"",I426*SUMIFS('Facturas y gastos'!$D$10:$D$13,'Facturas y gastos'!$A$10:$A$13,A426)/SUMIFS($I$8:$I$657,$A$8:$A$657,A426)))</f>
        <v>214.93004696166156</v>
      </c>
      <c r="K426" s="8">
        <f>IF(J426="","",IF(SUMIFS('Facturas y gastos'!$D$10:$D$13,'Facturas y gastos'!$A$10:$A$13,A426)=0,"",J426*SUMIFS('Facturas y gastos'!$G$10:$G$13,'Facturas y gastos'!$A$10:$A$13,A426)/SUMIFS('Facturas y gastos'!$D$10:$D$13,'Facturas y gastos'!$A$10:$A$13,A426)))</f>
        <v>2.1492943646006131</v>
      </c>
      <c r="L426" s="8">
        <f>IF(J426="","",IF(SUMIFS('Facturas y gastos'!$D$10:$D$13,'Facturas y gastos'!$A$10:$A$13,A426)=0,"",J426*SUMIFS('Facturas y gastos'!$H$10:$H$13,'Facturas y gastos'!$A$10:$A$13,A426)/SUMIFS('Facturas y gastos'!$D$10:$D$13,'Facturas y gastos'!$A$10:$A$13,A426)))</f>
        <v>6.4478830938018392</v>
      </c>
      <c r="M426" s="8">
        <f>IF(J426="","",IF(SUMIFS('Facturas y gastos'!$D$10:$D$13,'Facturas y gastos'!$A$10:$A$13,A426)=0,"",J426*SUMIFS('Facturas y gastos'!$I$10:$I$13,'Facturas y gastos'!$A$10:$A$13,A426)/SUMIFS('Facturas y gastos'!$D$10:$D$13,'Facturas y gastos'!$A$10:$A$13,A426)))</f>
        <v>37.099712632125424</v>
      </c>
      <c r="N426" s="8">
        <f>IF(J426="","",IF(SUMIFS('Facturas y gastos'!$D$10:$D$13,'Facturas y gastos'!$A$10:$A$13,A426)=0,"",J426*SUMIFS('Facturas y gastos'!$J$10:$J$13,'Facturas y gastos'!$A$10:$A$13,A426)/SUMIFS('Facturas y gastos'!$D$10:$D$13,'Facturas y gastos'!$A$10:$A$13,A426)))</f>
        <v>0</v>
      </c>
      <c r="O426" s="8">
        <f t="shared" si="12"/>
        <v>256.32834832298818</v>
      </c>
      <c r="P426" s="8" t="str">
        <f>IF(OR(O426="",'Facturas y gastos'!$B$24="",'Facturas y gastos'!$B$45&lt;&gt;"OK",SUM($O$8:$O$657)=0),"",O426*'Facturas y gastos'!$B$43/SUM($O$8:$O$657))</f>
        <v/>
      </c>
      <c r="Q426" s="8" t="str">
        <f>IF(OR(O426="",'Facturas y gastos'!$B$5="",P426=""),"",O426*'Facturas y gastos'!$B$5+P426)</f>
        <v/>
      </c>
      <c r="R426" s="8" t="str">
        <f t="shared" si="13"/>
        <v/>
      </c>
    </row>
    <row r="427" spans="1:18">
      <c r="A427" s="25" t="s">
        <v>62</v>
      </c>
      <c r="B427" s="25">
        <v>42</v>
      </c>
      <c r="C427" s="25" t="s">
        <v>592</v>
      </c>
      <c r="D427" s="25" t="s">
        <v>593</v>
      </c>
      <c r="E427" s="25" t="s">
        <v>108</v>
      </c>
      <c r="F427" s="27">
        <v>200</v>
      </c>
      <c r="G427" s="27">
        <v>4</v>
      </c>
      <c r="H427" s="29">
        <v>2.04</v>
      </c>
      <c r="I427" s="29">
        <v>408.96</v>
      </c>
      <c r="J427" s="8">
        <f>IF(OR(A427="",I427=""),"",IF(SUMIFS($I$8:$I$657,$A$8:$A$657,A427)=0,"",I427*SUMIFS('Facturas y gastos'!$D$10:$D$13,'Facturas y gastos'!$A$10:$A$13,A427)/SUMIFS($I$8:$I$657,$A$8:$A$657,A427)))</f>
        <v>408.96008935672592</v>
      </c>
      <c r="K427" s="8">
        <f>IF(J427="","",IF(SUMIFS('Facturas y gastos'!$D$10:$D$13,'Facturas y gastos'!$A$10:$A$13,A427)=0,"",J427*SUMIFS('Facturas y gastos'!$G$10:$G$13,'Facturas y gastos'!$A$10:$A$13,A427)/SUMIFS('Facturas y gastos'!$D$10:$D$13,'Facturas y gastos'!$A$10:$A$13,A427)))</f>
        <v>4.0895892771928839</v>
      </c>
      <c r="L427" s="8">
        <f>IF(J427="","",IF(SUMIFS('Facturas y gastos'!$D$10:$D$13,'Facturas y gastos'!$A$10:$A$13,A427)=0,"",J427*SUMIFS('Facturas y gastos'!$H$10:$H$13,'Facturas y gastos'!$A$10:$A$13,A427)/SUMIFS('Facturas y gastos'!$D$10:$D$13,'Facturas y gastos'!$A$10:$A$13,A427)))</f>
        <v>12.268767831578652</v>
      </c>
      <c r="M427" s="8">
        <f>IF(J427="","",IF(SUMIFS('Facturas y gastos'!$D$10:$D$13,'Facturas y gastos'!$A$10:$A$13,A427)=0,"",J427*SUMIFS('Facturas y gastos'!$I$10:$I$13,'Facturas y gastos'!$A$10:$A$13,A427)/SUMIFS('Facturas y gastos'!$D$10:$D$13,'Facturas y gastos'!$A$10:$A$13,A427)))</f>
        <v>70.591813511534042</v>
      </c>
      <c r="N427" s="8">
        <f>IF(J427="","",IF(SUMIFS('Facturas y gastos'!$D$10:$D$13,'Facturas y gastos'!$A$10:$A$13,A427)=0,"",J427*SUMIFS('Facturas y gastos'!$J$10:$J$13,'Facturas y gastos'!$A$10:$A$13,A427)/SUMIFS('Facturas y gastos'!$D$10:$D$13,'Facturas y gastos'!$A$10:$A$13,A427)))</f>
        <v>0</v>
      </c>
      <c r="O427" s="8">
        <f t="shared" si="12"/>
        <v>487.73108142264573</v>
      </c>
      <c r="P427" s="8" t="str">
        <f>IF(OR(O427="",'Facturas y gastos'!$B$24="",'Facturas y gastos'!$B$45&lt;&gt;"OK",SUM($O$8:$O$657)=0),"",O427*'Facturas y gastos'!$B$43/SUM($O$8:$O$657))</f>
        <v/>
      </c>
      <c r="Q427" s="8" t="str">
        <f>IF(OR(O427="",'Facturas y gastos'!$B$5="",P427=""),"",O427*'Facturas y gastos'!$B$5+P427)</f>
        <v/>
      </c>
      <c r="R427" s="8" t="str">
        <f t="shared" si="13"/>
        <v/>
      </c>
    </row>
    <row r="428" spans="1:18">
      <c r="A428" s="25" t="s">
        <v>62</v>
      </c>
      <c r="B428" s="25">
        <v>43</v>
      </c>
      <c r="C428" s="25" t="s">
        <v>594</v>
      </c>
      <c r="D428" s="25" t="s">
        <v>593</v>
      </c>
      <c r="E428" s="25" t="s">
        <v>108</v>
      </c>
      <c r="F428" s="27">
        <v>200</v>
      </c>
      <c r="G428" s="27">
        <v>4</v>
      </c>
      <c r="H428" s="29">
        <v>2.2200000000000002</v>
      </c>
      <c r="I428" s="29">
        <v>444.78</v>
      </c>
      <c r="J428" s="8">
        <f>IF(OR(A428="",I428=""),"",IF(SUMIFS($I$8:$I$657,$A$8:$A$657,A428)=0,"",I428*SUMIFS('Facturas y gastos'!$D$10:$D$13,'Facturas y gastos'!$A$10:$A$13,A428)/SUMIFS($I$8:$I$657,$A$8:$A$657,A428)))</f>
        <v>444.78009718330526</v>
      </c>
      <c r="K428" s="8">
        <f>IF(J428="","",IF(SUMIFS('Facturas y gastos'!$D$10:$D$13,'Facturas y gastos'!$A$10:$A$13,A428)=0,"",J428*SUMIFS('Facturas y gastos'!$G$10:$G$13,'Facturas y gastos'!$A$10:$A$13,A428)/SUMIFS('Facturas y gastos'!$D$10:$D$13,'Facturas y gastos'!$A$10:$A$13,A428)))</f>
        <v>4.4477883380033516</v>
      </c>
      <c r="L428" s="8">
        <f>IF(J428="","",IF(SUMIFS('Facturas y gastos'!$D$10:$D$13,'Facturas y gastos'!$A$10:$A$13,A428)=0,"",J428*SUMIFS('Facturas y gastos'!$H$10:$H$13,'Facturas y gastos'!$A$10:$A$13,A428)/SUMIFS('Facturas y gastos'!$D$10:$D$13,'Facturas y gastos'!$A$10:$A$13,A428)))</f>
        <v>13.343365014010054</v>
      </c>
      <c r="M428" s="8">
        <f>IF(J428="","",IF(SUMIFS('Facturas y gastos'!$D$10:$D$13,'Facturas y gastos'!$A$10:$A$13,A428)=0,"",J428*SUMIFS('Facturas y gastos'!$I$10:$I$13,'Facturas y gastos'!$A$10:$A$13,A428)/SUMIFS('Facturas y gastos'!$D$10:$D$13,'Facturas y gastos'!$A$10:$A$13,A428)))</f>
        <v>76.774811261884054</v>
      </c>
      <c r="N428" s="8">
        <f>IF(J428="","",IF(SUMIFS('Facturas y gastos'!$D$10:$D$13,'Facturas y gastos'!$A$10:$A$13,A428)=0,"",J428*SUMIFS('Facturas y gastos'!$J$10:$J$13,'Facturas y gastos'!$A$10:$A$13,A428)/SUMIFS('Facturas y gastos'!$D$10:$D$13,'Facturas y gastos'!$A$10:$A$13,A428)))</f>
        <v>0</v>
      </c>
      <c r="O428" s="8">
        <f t="shared" si="12"/>
        <v>530.45048512119592</v>
      </c>
      <c r="P428" s="8" t="str">
        <f>IF(OR(O428="",'Facturas y gastos'!$B$24="",'Facturas y gastos'!$B$45&lt;&gt;"OK",SUM($O$8:$O$657)=0),"",O428*'Facturas y gastos'!$B$43/SUM($O$8:$O$657))</f>
        <v/>
      </c>
      <c r="Q428" s="8" t="str">
        <f>IF(OR(O428="",'Facturas y gastos'!$B$5="",P428=""),"",O428*'Facturas y gastos'!$B$5+P428)</f>
        <v/>
      </c>
      <c r="R428" s="8" t="str">
        <f t="shared" si="13"/>
        <v/>
      </c>
    </row>
    <row r="429" spans="1:18">
      <c r="A429" s="25" t="s">
        <v>62</v>
      </c>
      <c r="B429" s="25">
        <v>44</v>
      </c>
      <c r="C429" s="25" t="s">
        <v>595</v>
      </c>
      <c r="D429" s="25" t="s">
        <v>593</v>
      </c>
      <c r="E429" s="25" t="s">
        <v>108</v>
      </c>
      <c r="F429" s="27">
        <v>200</v>
      </c>
      <c r="G429" s="27">
        <v>4</v>
      </c>
      <c r="H429" s="29">
        <v>2.2200000000000002</v>
      </c>
      <c r="I429" s="29">
        <v>444.78</v>
      </c>
      <c r="J429" s="8">
        <f>IF(OR(A429="",I429=""),"",IF(SUMIFS($I$8:$I$657,$A$8:$A$657,A429)=0,"",I429*SUMIFS('Facturas y gastos'!$D$10:$D$13,'Facturas y gastos'!$A$10:$A$13,A429)/SUMIFS($I$8:$I$657,$A$8:$A$657,A429)))</f>
        <v>444.78009718330526</v>
      </c>
      <c r="K429" s="8">
        <f>IF(J429="","",IF(SUMIFS('Facturas y gastos'!$D$10:$D$13,'Facturas y gastos'!$A$10:$A$13,A429)=0,"",J429*SUMIFS('Facturas y gastos'!$G$10:$G$13,'Facturas y gastos'!$A$10:$A$13,A429)/SUMIFS('Facturas y gastos'!$D$10:$D$13,'Facturas y gastos'!$A$10:$A$13,A429)))</f>
        <v>4.4477883380033516</v>
      </c>
      <c r="L429" s="8">
        <f>IF(J429="","",IF(SUMIFS('Facturas y gastos'!$D$10:$D$13,'Facturas y gastos'!$A$10:$A$13,A429)=0,"",J429*SUMIFS('Facturas y gastos'!$H$10:$H$13,'Facturas y gastos'!$A$10:$A$13,A429)/SUMIFS('Facturas y gastos'!$D$10:$D$13,'Facturas y gastos'!$A$10:$A$13,A429)))</f>
        <v>13.343365014010054</v>
      </c>
      <c r="M429" s="8">
        <f>IF(J429="","",IF(SUMIFS('Facturas y gastos'!$D$10:$D$13,'Facturas y gastos'!$A$10:$A$13,A429)=0,"",J429*SUMIFS('Facturas y gastos'!$I$10:$I$13,'Facturas y gastos'!$A$10:$A$13,A429)/SUMIFS('Facturas y gastos'!$D$10:$D$13,'Facturas y gastos'!$A$10:$A$13,A429)))</f>
        <v>76.774811261884054</v>
      </c>
      <c r="N429" s="8">
        <f>IF(J429="","",IF(SUMIFS('Facturas y gastos'!$D$10:$D$13,'Facturas y gastos'!$A$10:$A$13,A429)=0,"",J429*SUMIFS('Facturas y gastos'!$J$10:$J$13,'Facturas y gastos'!$A$10:$A$13,A429)/SUMIFS('Facturas y gastos'!$D$10:$D$13,'Facturas y gastos'!$A$10:$A$13,A429)))</f>
        <v>0</v>
      </c>
      <c r="O429" s="8">
        <f t="shared" si="12"/>
        <v>530.45048512119592</v>
      </c>
      <c r="P429" s="8" t="str">
        <f>IF(OR(O429="",'Facturas y gastos'!$B$24="",'Facturas y gastos'!$B$45&lt;&gt;"OK",SUM($O$8:$O$657)=0),"",O429*'Facturas y gastos'!$B$43/SUM($O$8:$O$657))</f>
        <v/>
      </c>
      <c r="Q429" s="8" t="str">
        <f>IF(OR(O429="",'Facturas y gastos'!$B$5="",P429=""),"",O429*'Facturas y gastos'!$B$5+P429)</f>
        <v/>
      </c>
      <c r="R429" s="8" t="str">
        <f t="shared" si="13"/>
        <v/>
      </c>
    </row>
    <row r="430" spans="1:18">
      <c r="A430" s="25" t="s">
        <v>62</v>
      </c>
      <c r="B430" s="25">
        <v>45</v>
      </c>
      <c r="C430" s="25" t="s">
        <v>596</v>
      </c>
      <c r="D430" s="25" t="s">
        <v>593</v>
      </c>
      <c r="E430" s="25" t="s">
        <v>108</v>
      </c>
      <c r="F430" s="27">
        <v>200</v>
      </c>
      <c r="G430" s="27">
        <v>4</v>
      </c>
      <c r="H430" s="29">
        <v>2.12</v>
      </c>
      <c r="I430" s="29">
        <v>423.88</v>
      </c>
      <c r="J430" s="8">
        <f>IF(OR(A430="",I430=""),"",IF(SUMIFS($I$8:$I$657,$A$8:$A$657,A430)=0,"",I430*SUMIFS('Facturas y gastos'!$D$10:$D$13,'Facturas y gastos'!$A$10:$A$13,A430)/SUMIFS($I$8:$I$657,$A$8:$A$657,A430)))</f>
        <v>423.88009261670817</v>
      </c>
      <c r="K430" s="8">
        <f>IF(J430="","",IF(SUMIFS('Facturas y gastos'!$D$10:$D$13,'Facturas y gastos'!$A$10:$A$13,A430)=0,"",J430*SUMIFS('Facturas y gastos'!$G$10:$G$13,'Facturas y gastos'!$A$10:$A$13,A430)/SUMIFS('Facturas y gastos'!$D$10:$D$13,'Facturas y gastos'!$A$10:$A$13,A430)))</f>
        <v>4.2387888859950111</v>
      </c>
      <c r="L430" s="8">
        <f>IF(J430="","",IF(SUMIFS('Facturas y gastos'!$D$10:$D$13,'Facturas y gastos'!$A$10:$A$13,A430)=0,"",J430*SUMIFS('Facturas y gastos'!$H$10:$H$13,'Facturas y gastos'!$A$10:$A$13,A430)/SUMIFS('Facturas y gastos'!$D$10:$D$13,'Facturas y gastos'!$A$10:$A$13,A430)))</f>
        <v>12.716366657985033</v>
      </c>
      <c r="M430" s="8">
        <f>IF(J430="","",IF(SUMIFS('Facturas y gastos'!$D$10:$D$13,'Facturas y gastos'!$A$10:$A$13,A430)=0,"",J430*SUMIFS('Facturas y gastos'!$I$10:$I$13,'Facturas y gastos'!$A$10:$A$13,A430)/SUMIFS('Facturas y gastos'!$D$10:$D$13,'Facturas y gastos'!$A$10:$A$13,A430)))</f>
        <v>73.167199509167276</v>
      </c>
      <c r="N430" s="8">
        <f>IF(J430="","",IF(SUMIFS('Facturas y gastos'!$D$10:$D$13,'Facturas y gastos'!$A$10:$A$13,A430)=0,"",J430*SUMIFS('Facturas y gastos'!$J$10:$J$13,'Facturas y gastos'!$A$10:$A$13,A430)/SUMIFS('Facturas y gastos'!$D$10:$D$13,'Facturas y gastos'!$A$10:$A$13,A430)))</f>
        <v>0</v>
      </c>
      <c r="O430" s="8">
        <f t="shared" si="12"/>
        <v>505.52486989786547</v>
      </c>
      <c r="P430" s="8" t="str">
        <f>IF(OR(O430="",'Facturas y gastos'!$B$24="",'Facturas y gastos'!$B$45&lt;&gt;"OK",SUM($O$8:$O$657)=0),"",O430*'Facturas y gastos'!$B$43/SUM($O$8:$O$657))</f>
        <v/>
      </c>
      <c r="Q430" s="8" t="str">
        <f>IF(OR(O430="",'Facturas y gastos'!$B$5="",P430=""),"",O430*'Facturas y gastos'!$B$5+P430)</f>
        <v/>
      </c>
      <c r="R430" s="8" t="str">
        <f t="shared" si="13"/>
        <v/>
      </c>
    </row>
    <row r="431" spans="1:18">
      <c r="A431" s="25" t="s">
        <v>62</v>
      </c>
      <c r="B431" s="25">
        <v>46</v>
      </c>
      <c r="C431" s="25" t="s">
        <v>597</v>
      </c>
      <c r="D431" s="25" t="s">
        <v>593</v>
      </c>
      <c r="E431" s="25" t="s">
        <v>108</v>
      </c>
      <c r="F431" s="27">
        <v>200</v>
      </c>
      <c r="G431" s="27">
        <v>4</v>
      </c>
      <c r="H431" s="29">
        <v>2.09</v>
      </c>
      <c r="I431" s="29">
        <v>417.91</v>
      </c>
      <c r="J431" s="8">
        <f>IF(OR(A431="",I431=""),"",IF(SUMIFS($I$8:$I$657,$A$8:$A$657,A431)=0,"",I431*SUMIFS('Facturas y gastos'!$D$10:$D$13,'Facturas y gastos'!$A$10:$A$13,A431)/SUMIFS($I$8:$I$657,$A$8:$A$657,A431)))</f>
        <v>417.91009131227833</v>
      </c>
      <c r="K431" s="8">
        <f>IF(J431="","",IF(SUMIFS('Facturas y gastos'!$D$10:$D$13,'Facturas y gastos'!$A$10:$A$13,A431)=0,"",J431*SUMIFS('Facturas y gastos'!$G$10:$G$13,'Facturas y gastos'!$A$10:$A$13,A431)/SUMIFS('Facturas y gastos'!$D$10:$D$13,'Facturas y gastos'!$A$10:$A$13,A431)))</f>
        <v>4.1790890425266003</v>
      </c>
      <c r="L431" s="8">
        <f>IF(J431="","",IF(SUMIFS('Facturas y gastos'!$D$10:$D$13,'Facturas y gastos'!$A$10:$A$13,A431)=0,"",J431*SUMIFS('Facturas y gastos'!$H$10:$H$13,'Facturas y gastos'!$A$10:$A$13,A431)/SUMIFS('Facturas y gastos'!$D$10:$D$13,'Facturas y gastos'!$A$10:$A$13,A431)))</f>
        <v>12.537267127579801</v>
      </c>
      <c r="M431" s="8">
        <f>IF(J431="","",IF(SUMIFS('Facturas y gastos'!$D$10:$D$13,'Facturas y gastos'!$A$10:$A$13,A431)=0,"",J431*SUMIFS('Facturas y gastos'!$I$10:$I$13,'Facturas y gastos'!$A$10:$A$13,A431)/SUMIFS('Facturas y gastos'!$D$10:$D$13,'Facturas y gastos'!$A$10:$A$13,A431)))</f>
        <v>72.13669988410895</v>
      </c>
      <c r="N431" s="8">
        <f>IF(J431="","",IF(SUMIFS('Facturas y gastos'!$D$10:$D$13,'Facturas y gastos'!$A$10:$A$13,A431)=0,"",J431*SUMIFS('Facturas y gastos'!$J$10:$J$13,'Facturas y gastos'!$A$10:$A$13,A431)/SUMIFS('Facturas y gastos'!$D$10:$D$13,'Facturas y gastos'!$A$10:$A$13,A431)))</f>
        <v>0</v>
      </c>
      <c r="O431" s="8">
        <f t="shared" si="12"/>
        <v>498.40496928144051</v>
      </c>
      <c r="P431" s="8" t="str">
        <f>IF(OR(O431="",'Facturas y gastos'!$B$24="",'Facturas y gastos'!$B$45&lt;&gt;"OK",SUM($O$8:$O$657)=0),"",O431*'Facturas y gastos'!$B$43/SUM($O$8:$O$657))</f>
        <v/>
      </c>
      <c r="Q431" s="8" t="str">
        <f>IF(OR(O431="",'Facturas y gastos'!$B$5="",P431=""),"",O431*'Facturas y gastos'!$B$5+P431)</f>
        <v/>
      </c>
      <c r="R431" s="8" t="str">
        <f t="shared" si="13"/>
        <v/>
      </c>
    </row>
    <row r="432" spans="1:18">
      <c r="A432" s="25" t="s">
        <v>62</v>
      </c>
      <c r="B432" s="25">
        <v>47</v>
      </c>
      <c r="C432" s="25" t="s">
        <v>598</v>
      </c>
      <c r="D432" s="25" t="s">
        <v>593</v>
      </c>
      <c r="E432" s="25" t="s">
        <v>108</v>
      </c>
      <c r="F432" s="27">
        <v>200</v>
      </c>
      <c r="G432" s="27">
        <v>4</v>
      </c>
      <c r="H432" s="29">
        <v>2.19</v>
      </c>
      <c r="I432" s="29">
        <v>438.81</v>
      </c>
      <c r="J432" s="8">
        <f>IF(OR(A432="",I432=""),"",IF(SUMIFS($I$8:$I$657,$A$8:$A$657,A432)=0,"",I432*SUMIFS('Facturas y gastos'!$D$10:$D$13,'Facturas y gastos'!$A$10:$A$13,A432)/SUMIFS($I$8:$I$657,$A$8:$A$657,A432)))</f>
        <v>438.81009587887542</v>
      </c>
      <c r="K432" s="8">
        <f>IF(J432="","",IF(SUMIFS('Facturas y gastos'!$D$10:$D$13,'Facturas y gastos'!$A$10:$A$13,A432)=0,"",J432*SUMIFS('Facturas y gastos'!$G$10:$G$13,'Facturas y gastos'!$A$10:$A$13,A432)/SUMIFS('Facturas y gastos'!$D$10:$D$13,'Facturas y gastos'!$A$10:$A$13,A432)))</f>
        <v>4.3880884945349408</v>
      </c>
      <c r="L432" s="8">
        <f>IF(J432="","",IF(SUMIFS('Facturas y gastos'!$D$10:$D$13,'Facturas y gastos'!$A$10:$A$13,A432)=0,"",J432*SUMIFS('Facturas y gastos'!$H$10:$H$13,'Facturas y gastos'!$A$10:$A$13,A432)/SUMIFS('Facturas y gastos'!$D$10:$D$13,'Facturas y gastos'!$A$10:$A$13,A432)))</f>
        <v>13.164265483604822</v>
      </c>
      <c r="M432" s="8">
        <f>IF(J432="","",IF(SUMIFS('Facturas y gastos'!$D$10:$D$13,'Facturas y gastos'!$A$10:$A$13,A432)=0,"",J432*SUMIFS('Facturas y gastos'!$I$10:$I$13,'Facturas y gastos'!$A$10:$A$13,A432)/SUMIFS('Facturas y gastos'!$D$10:$D$13,'Facturas y gastos'!$A$10:$A$13,A432)))</f>
        <v>75.744311636825728</v>
      </c>
      <c r="N432" s="8">
        <f>IF(J432="","",IF(SUMIFS('Facturas y gastos'!$D$10:$D$13,'Facturas y gastos'!$A$10:$A$13,A432)=0,"",J432*SUMIFS('Facturas y gastos'!$J$10:$J$13,'Facturas y gastos'!$A$10:$A$13,A432)/SUMIFS('Facturas y gastos'!$D$10:$D$13,'Facturas y gastos'!$A$10:$A$13,A432)))</f>
        <v>0</v>
      </c>
      <c r="O432" s="8">
        <f t="shared" si="12"/>
        <v>523.33058450477097</v>
      </c>
      <c r="P432" s="8" t="str">
        <f>IF(OR(O432="",'Facturas y gastos'!$B$24="",'Facturas y gastos'!$B$45&lt;&gt;"OK",SUM($O$8:$O$657)=0),"",O432*'Facturas y gastos'!$B$43/SUM($O$8:$O$657))</f>
        <v/>
      </c>
      <c r="Q432" s="8" t="str">
        <f>IF(OR(O432="",'Facturas y gastos'!$B$5="",P432=""),"",O432*'Facturas y gastos'!$B$5+P432)</f>
        <v/>
      </c>
      <c r="R432" s="8" t="str">
        <f t="shared" si="13"/>
        <v/>
      </c>
    </row>
    <row r="433" spans="1:18">
      <c r="A433" s="25" t="s">
        <v>62</v>
      </c>
      <c r="B433" s="25">
        <v>48</v>
      </c>
      <c r="C433" s="25" t="s">
        <v>599</v>
      </c>
      <c r="D433" s="25" t="s">
        <v>593</v>
      </c>
      <c r="E433" s="25" t="s">
        <v>108</v>
      </c>
      <c r="F433" s="27">
        <v>200</v>
      </c>
      <c r="G433" s="27">
        <v>4</v>
      </c>
      <c r="H433" s="29">
        <v>2.19</v>
      </c>
      <c r="I433" s="29">
        <v>438.81</v>
      </c>
      <c r="J433" s="8">
        <f>IF(OR(A433="",I433=""),"",IF(SUMIFS($I$8:$I$657,$A$8:$A$657,A433)=0,"",I433*SUMIFS('Facturas y gastos'!$D$10:$D$13,'Facturas y gastos'!$A$10:$A$13,A433)/SUMIFS($I$8:$I$657,$A$8:$A$657,A433)))</f>
        <v>438.81009587887542</v>
      </c>
      <c r="K433" s="8">
        <f>IF(J433="","",IF(SUMIFS('Facturas y gastos'!$D$10:$D$13,'Facturas y gastos'!$A$10:$A$13,A433)=0,"",J433*SUMIFS('Facturas y gastos'!$G$10:$G$13,'Facturas y gastos'!$A$10:$A$13,A433)/SUMIFS('Facturas y gastos'!$D$10:$D$13,'Facturas y gastos'!$A$10:$A$13,A433)))</f>
        <v>4.3880884945349408</v>
      </c>
      <c r="L433" s="8">
        <f>IF(J433="","",IF(SUMIFS('Facturas y gastos'!$D$10:$D$13,'Facturas y gastos'!$A$10:$A$13,A433)=0,"",J433*SUMIFS('Facturas y gastos'!$H$10:$H$13,'Facturas y gastos'!$A$10:$A$13,A433)/SUMIFS('Facturas y gastos'!$D$10:$D$13,'Facturas y gastos'!$A$10:$A$13,A433)))</f>
        <v>13.164265483604822</v>
      </c>
      <c r="M433" s="8">
        <f>IF(J433="","",IF(SUMIFS('Facturas y gastos'!$D$10:$D$13,'Facturas y gastos'!$A$10:$A$13,A433)=0,"",J433*SUMIFS('Facturas y gastos'!$I$10:$I$13,'Facturas y gastos'!$A$10:$A$13,A433)/SUMIFS('Facturas y gastos'!$D$10:$D$13,'Facturas y gastos'!$A$10:$A$13,A433)))</f>
        <v>75.744311636825728</v>
      </c>
      <c r="N433" s="8">
        <f>IF(J433="","",IF(SUMIFS('Facturas y gastos'!$D$10:$D$13,'Facturas y gastos'!$A$10:$A$13,A433)=0,"",J433*SUMIFS('Facturas y gastos'!$J$10:$J$13,'Facturas y gastos'!$A$10:$A$13,A433)/SUMIFS('Facturas y gastos'!$D$10:$D$13,'Facturas y gastos'!$A$10:$A$13,A433)))</f>
        <v>0</v>
      </c>
      <c r="O433" s="8">
        <f t="shared" si="12"/>
        <v>523.33058450477097</v>
      </c>
      <c r="P433" s="8" t="str">
        <f>IF(OR(O433="",'Facturas y gastos'!$B$24="",'Facturas y gastos'!$B$45&lt;&gt;"OK",SUM($O$8:$O$657)=0),"",O433*'Facturas y gastos'!$B$43/SUM($O$8:$O$657))</f>
        <v/>
      </c>
      <c r="Q433" s="8" t="str">
        <f>IF(OR(O433="",'Facturas y gastos'!$B$5="",P433=""),"",O433*'Facturas y gastos'!$B$5+P433)</f>
        <v/>
      </c>
      <c r="R433" s="8" t="str">
        <f t="shared" si="13"/>
        <v/>
      </c>
    </row>
    <row r="434" spans="1:18">
      <c r="A434" s="25" t="s">
        <v>62</v>
      </c>
      <c r="B434" s="25">
        <v>49</v>
      </c>
      <c r="C434" s="25" t="s">
        <v>600</v>
      </c>
      <c r="D434" s="25" t="s">
        <v>593</v>
      </c>
      <c r="E434" s="25" t="s">
        <v>108</v>
      </c>
      <c r="F434" s="27">
        <v>200</v>
      </c>
      <c r="G434" s="27">
        <v>4</v>
      </c>
      <c r="H434" s="29">
        <v>2.12</v>
      </c>
      <c r="I434" s="29">
        <v>423.88</v>
      </c>
      <c r="J434" s="8">
        <f>IF(OR(A434="",I434=""),"",IF(SUMIFS($I$8:$I$657,$A$8:$A$657,A434)=0,"",I434*SUMIFS('Facturas y gastos'!$D$10:$D$13,'Facturas y gastos'!$A$10:$A$13,A434)/SUMIFS($I$8:$I$657,$A$8:$A$657,A434)))</f>
        <v>423.88009261670817</v>
      </c>
      <c r="K434" s="8">
        <f>IF(J434="","",IF(SUMIFS('Facturas y gastos'!$D$10:$D$13,'Facturas y gastos'!$A$10:$A$13,A434)=0,"",J434*SUMIFS('Facturas y gastos'!$G$10:$G$13,'Facturas y gastos'!$A$10:$A$13,A434)/SUMIFS('Facturas y gastos'!$D$10:$D$13,'Facturas y gastos'!$A$10:$A$13,A434)))</f>
        <v>4.2387888859950111</v>
      </c>
      <c r="L434" s="8">
        <f>IF(J434="","",IF(SUMIFS('Facturas y gastos'!$D$10:$D$13,'Facturas y gastos'!$A$10:$A$13,A434)=0,"",J434*SUMIFS('Facturas y gastos'!$H$10:$H$13,'Facturas y gastos'!$A$10:$A$13,A434)/SUMIFS('Facturas y gastos'!$D$10:$D$13,'Facturas y gastos'!$A$10:$A$13,A434)))</f>
        <v>12.716366657985033</v>
      </c>
      <c r="M434" s="8">
        <f>IF(J434="","",IF(SUMIFS('Facturas y gastos'!$D$10:$D$13,'Facturas y gastos'!$A$10:$A$13,A434)=0,"",J434*SUMIFS('Facturas y gastos'!$I$10:$I$13,'Facturas y gastos'!$A$10:$A$13,A434)/SUMIFS('Facturas y gastos'!$D$10:$D$13,'Facturas y gastos'!$A$10:$A$13,A434)))</f>
        <v>73.167199509167276</v>
      </c>
      <c r="N434" s="8">
        <f>IF(J434="","",IF(SUMIFS('Facturas y gastos'!$D$10:$D$13,'Facturas y gastos'!$A$10:$A$13,A434)=0,"",J434*SUMIFS('Facturas y gastos'!$J$10:$J$13,'Facturas y gastos'!$A$10:$A$13,A434)/SUMIFS('Facturas y gastos'!$D$10:$D$13,'Facturas y gastos'!$A$10:$A$13,A434)))</f>
        <v>0</v>
      </c>
      <c r="O434" s="8">
        <f t="shared" si="12"/>
        <v>505.52486989786547</v>
      </c>
      <c r="P434" s="8" t="str">
        <f>IF(OR(O434="",'Facturas y gastos'!$B$24="",'Facturas y gastos'!$B$45&lt;&gt;"OK",SUM($O$8:$O$657)=0),"",O434*'Facturas y gastos'!$B$43/SUM($O$8:$O$657))</f>
        <v/>
      </c>
      <c r="Q434" s="8" t="str">
        <f>IF(OR(O434="",'Facturas y gastos'!$B$5="",P434=""),"",O434*'Facturas y gastos'!$B$5+P434)</f>
        <v/>
      </c>
      <c r="R434" s="8" t="str">
        <f t="shared" si="13"/>
        <v/>
      </c>
    </row>
    <row r="435" spans="1:18">
      <c r="A435" s="25" t="s">
        <v>62</v>
      </c>
      <c r="B435" s="25">
        <v>50</v>
      </c>
      <c r="C435" s="25" t="s">
        <v>601</v>
      </c>
      <c r="D435" s="25" t="s">
        <v>593</v>
      </c>
      <c r="E435" s="25" t="s">
        <v>108</v>
      </c>
      <c r="F435" s="27">
        <v>200</v>
      </c>
      <c r="G435" s="27">
        <v>4</v>
      </c>
      <c r="H435" s="29">
        <v>2.04</v>
      </c>
      <c r="I435" s="29">
        <v>408.96</v>
      </c>
      <c r="J435" s="8">
        <f>IF(OR(A435="",I435=""),"",IF(SUMIFS($I$8:$I$657,$A$8:$A$657,A435)=0,"",I435*SUMIFS('Facturas y gastos'!$D$10:$D$13,'Facturas y gastos'!$A$10:$A$13,A435)/SUMIFS($I$8:$I$657,$A$8:$A$657,A435)))</f>
        <v>408.96008935672592</v>
      </c>
      <c r="K435" s="8">
        <f>IF(J435="","",IF(SUMIFS('Facturas y gastos'!$D$10:$D$13,'Facturas y gastos'!$A$10:$A$13,A435)=0,"",J435*SUMIFS('Facturas y gastos'!$G$10:$G$13,'Facturas y gastos'!$A$10:$A$13,A435)/SUMIFS('Facturas y gastos'!$D$10:$D$13,'Facturas y gastos'!$A$10:$A$13,A435)))</f>
        <v>4.0895892771928839</v>
      </c>
      <c r="L435" s="8">
        <f>IF(J435="","",IF(SUMIFS('Facturas y gastos'!$D$10:$D$13,'Facturas y gastos'!$A$10:$A$13,A435)=0,"",J435*SUMIFS('Facturas y gastos'!$H$10:$H$13,'Facturas y gastos'!$A$10:$A$13,A435)/SUMIFS('Facturas y gastos'!$D$10:$D$13,'Facturas y gastos'!$A$10:$A$13,A435)))</f>
        <v>12.268767831578652</v>
      </c>
      <c r="M435" s="8">
        <f>IF(J435="","",IF(SUMIFS('Facturas y gastos'!$D$10:$D$13,'Facturas y gastos'!$A$10:$A$13,A435)=0,"",J435*SUMIFS('Facturas y gastos'!$I$10:$I$13,'Facturas y gastos'!$A$10:$A$13,A435)/SUMIFS('Facturas y gastos'!$D$10:$D$13,'Facturas y gastos'!$A$10:$A$13,A435)))</f>
        <v>70.591813511534042</v>
      </c>
      <c r="N435" s="8">
        <f>IF(J435="","",IF(SUMIFS('Facturas y gastos'!$D$10:$D$13,'Facturas y gastos'!$A$10:$A$13,A435)=0,"",J435*SUMIFS('Facturas y gastos'!$J$10:$J$13,'Facturas y gastos'!$A$10:$A$13,A435)/SUMIFS('Facturas y gastos'!$D$10:$D$13,'Facturas y gastos'!$A$10:$A$13,A435)))</f>
        <v>0</v>
      </c>
      <c r="O435" s="8">
        <f t="shared" si="12"/>
        <v>487.73108142264573</v>
      </c>
      <c r="P435" s="8" t="str">
        <f>IF(OR(O435="",'Facturas y gastos'!$B$24="",'Facturas y gastos'!$B$45&lt;&gt;"OK",SUM($O$8:$O$657)=0),"",O435*'Facturas y gastos'!$B$43/SUM($O$8:$O$657))</f>
        <v/>
      </c>
      <c r="Q435" s="8" t="str">
        <f>IF(OR(O435="",'Facturas y gastos'!$B$5="",P435=""),"",O435*'Facturas y gastos'!$B$5+P435)</f>
        <v/>
      </c>
      <c r="R435" s="8" t="str">
        <f t="shared" si="13"/>
        <v/>
      </c>
    </row>
    <row r="436" spans="1:18">
      <c r="A436" s="25" t="s">
        <v>62</v>
      </c>
      <c r="B436" s="25">
        <v>51</v>
      </c>
      <c r="C436" s="25" t="s">
        <v>602</v>
      </c>
      <c r="D436" s="25" t="s">
        <v>603</v>
      </c>
      <c r="E436" s="25" t="s">
        <v>108</v>
      </c>
      <c r="F436" s="27">
        <v>96</v>
      </c>
      <c r="G436" s="27">
        <v>3</v>
      </c>
      <c r="H436" s="29">
        <v>2.61</v>
      </c>
      <c r="I436" s="29">
        <v>250.75</v>
      </c>
      <c r="J436" s="8">
        <f>IF(OR(A436="",I436=""),"",IF(SUMIFS($I$8:$I$657,$A$8:$A$657,A436)=0,"",I436*SUMIFS('Facturas y gastos'!$D$10:$D$13,'Facturas y gastos'!$A$10:$A$13,A436)/SUMIFS($I$8:$I$657,$A$8:$A$657,A436)))</f>
        <v>250.75005478824099</v>
      </c>
      <c r="K436" s="8">
        <f>IF(J436="","",IF(SUMIFS('Facturas y gastos'!$D$10:$D$13,'Facturas y gastos'!$A$10:$A$13,A436)=0,"",J436*SUMIFS('Facturas y gastos'!$G$10:$G$13,'Facturas y gastos'!$A$10:$A$13,A436)/SUMIFS('Facturas y gastos'!$D$10:$D$13,'Facturas y gastos'!$A$10:$A$13,A436)))</f>
        <v>2.5074934254110812</v>
      </c>
      <c r="L436" s="8">
        <f>IF(J436="","",IF(SUMIFS('Facturas y gastos'!$D$10:$D$13,'Facturas y gastos'!$A$10:$A$13,A436)=0,"",J436*SUMIFS('Facturas y gastos'!$H$10:$H$13,'Facturas y gastos'!$A$10:$A$13,A436)/SUMIFS('Facturas y gastos'!$D$10:$D$13,'Facturas y gastos'!$A$10:$A$13,A436)))</f>
        <v>7.5224802762332441</v>
      </c>
      <c r="M436" s="8">
        <f>IF(J436="","",IF(SUMIFS('Facturas y gastos'!$D$10:$D$13,'Facturas y gastos'!$A$10:$A$13,A436)=0,"",J436*SUMIFS('Facturas y gastos'!$I$10:$I$13,'Facturas y gastos'!$A$10:$A$13,A436)/SUMIFS('Facturas y gastos'!$D$10:$D$13,'Facturas y gastos'!$A$10:$A$13,A436)))</f>
        <v>43.282710382475457</v>
      </c>
      <c r="N436" s="8">
        <f>IF(J436="","",IF(SUMIFS('Facturas y gastos'!$D$10:$D$13,'Facturas y gastos'!$A$10:$A$13,A436)=0,"",J436*SUMIFS('Facturas y gastos'!$J$10:$J$13,'Facturas y gastos'!$A$10:$A$13,A436)/SUMIFS('Facturas y gastos'!$D$10:$D$13,'Facturas y gastos'!$A$10:$A$13,A436)))</f>
        <v>0</v>
      </c>
      <c r="O436" s="8">
        <f t="shared" si="12"/>
        <v>299.0477520215386</v>
      </c>
      <c r="P436" s="8" t="str">
        <f>IF(OR(O436="",'Facturas y gastos'!$B$24="",'Facturas y gastos'!$B$45&lt;&gt;"OK",SUM($O$8:$O$657)=0),"",O436*'Facturas y gastos'!$B$43/SUM($O$8:$O$657))</f>
        <v/>
      </c>
      <c r="Q436" s="8" t="str">
        <f>IF(OR(O436="",'Facturas y gastos'!$B$5="",P436=""),"",O436*'Facturas y gastos'!$B$5+P436)</f>
        <v/>
      </c>
      <c r="R436" s="8" t="str">
        <f t="shared" si="13"/>
        <v/>
      </c>
    </row>
    <row r="437" spans="1:18">
      <c r="A437" s="25" t="s">
        <v>62</v>
      </c>
      <c r="B437" s="25">
        <v>52</v>
      </c>
      <c r="C437" s="25" t="s">
        <v>604</v>
      </c>
      <c r="D437" s="25" t="s">
        <v>603</v>
      </c>
      <c r="E437" s="25" t="s">
        <v>108</v>
      </c>
      <c r="F437" s="27">
        <v>84</v>
      </c>
      <c r="G437" s="27">
        <v>3</v>
      </c>
      <c r="H437" s="29">
        <v>4.03</v>
      </c>
      <c r="I437" s="29">
        <v>338.51</v>
      </c>
      <c r="J437" s="8">
        <f>IF(OR(A437="",I437=""),"",IF(SUMIFS($I$8:$I$657,$A$8:$A$657,A437)=0,"",I437*SUMIFS('Facturas y gastos'!$D$10:$D$13,'Facturas y gastos'!$A$10:$A$13,A437)/SUMIFS($I$8:$I$657,$A$8:$A$657,A437)))</f>
        <v>338.51007396357903</v>
      </c>
      <c r="K437" s="8">
        <f>IF(J437="","",IF(SUMIFS('Facturas y gastos'!$D$10:$D$13,'Facturas y gastos'!$A$10:$A$13,A437)=0,"",J437*SUMIFS('Facturas y gastos'!$G$10:$G$13,'Facturas y gastos'!$A$10:$A$13,A437)/SUMIFS('Facturas y gastos'!$D$10:$D$13,'Facturas y gastos'!$A$10:$A$13,A437)))</f>
        <v>3.3850911243705082</v>
      </c>
      <c r="L437" s="8">
        <f>IF(J437="","",IF(SUMIFS('Facturas y gastos'!$D$10:$D$13,'Facturas y gastos'!$A$10:$A$13,A437)=0,"",J437*SUMIFS('Facturas y gastos'!$H$10:$H$13,'Facturas y gastos'!$A$10:$A$13,A437)/SUMIFS('Facturas y gastos'!$D$10:$D$13,'Facturas y gastos'!$A$10:$A$13,A437)))</f>
        <v>10.155273373111525</v>
      </c>
      <c r="M437" s="8">
        <f>IF(J437="","",IF(SUMIFS('Facturas y gastos'!$D$10:$D$13,'Facturas y gastos'!$A$10:$A$13,A437)=0,"",J437*SUMIFS('Facturas y gastos'!$I$10:$I$13,'Facturas y gastos'!$A$10:$A$13,A437)/SUMIFS('Facturas y gastos'!$D$10:$D$13,'Facturas y gastos'!$A$10:$A$13,A437)))</f>
        <v>58.431227483835542</v>
      </c>
      <c r="N437" s="8">
        <f>IF(J437="","",IF(SUMIFS('Facturas y gastos'!$D$10:$D$13,'Facturas y gastos'!$A$10:$A$13,A437)=0,"",J437*SUMIFS('Facturas y gastos'!$J$10:$J$13,'Facturas y gastos'!$A$10:$A$13,A437)/SUMIFS('Facturas y gastos'!$D$10:$D$13,'Facturas y gastos'!$A$10:$A$13,A437)))</f>
        <v>0</v>
      </c>
      <c r="O437" s="8">
        <f t="shared" si="12"/>
        <v>403.7114836961556</v>
      </c>
      <c r="P437" s="8" t="str">
        <f>IF(OR(O437="",'Facturas y gastos'!$B$24="",'Facturas y gastos'!$B$45&lt;&gt;"OK",SUM($O$8:$O$657)=0),"",O437*'Facturas y gastos'!$B$43/SUM($O$8:$O$657))</f>
        <v/>
      </c>
      <c r="Q437" s="8" t="str">
        <f>IF(OR(O437="",'Facturas y gastos'!$B$5="",P437=""),"",O437*'Facturas y gastos'!$B$5+P437)</f>
        <v/>
      </c>
      <c r="R437" s="8" t="str">
        <f t="shared" si="13"/>
        <v/>
      </c>
    </row>
    <row r="438" spans="1:18">
      <c r="A438" s="25" t="s">
        <v>62</v>
      </c>
      <c r="B438" s="25">
        <v>53</v>
      </c>
      <c r="C438" s="25" t="s">
        <v>605</v>
      </c>
      <c r="D438" s="25" t="s">
        <v>603</v>
      </c>
      <c r="E438" s="25" t="s">
        <v>108</v>
      </c>
      <c r="F438" s="27">
        <v>36</v>
      </c>
      <c r="G438" s="27">
        <v>3</v>
      </c>
      <c r="H438" s="29">
        <v>8.2100000000000009</v>
      </c>
      <c r="I438" s="29">
        <v>295.52</v>
      </c>
      <c r="J438" s="8">
        <f>IF(OR(A438="",I438=""),"",IF(SUMIFS($I$8:$I$657,$A$8:$A$657,A438)=0,"",I438*SUMIFS('Facturas y gastos'!$D$10:$D$13,'Facturas y gastos'!$A$10:$A$13,A438)/SUMIFS($I$8:$I$657,$A$8:$A$657,A438)))</f>
        <v>295.52006457037271</v>
      </c>
      <c r="K438" s="8">
        <f>IF(J438="","",IF(SUMIFS('Facturas y gastos'!$D$10:$D$13,'Facturas y gastos'!$A$10:$A$13,A438)=0,"",J438*SUMIFS('Facturas y gastos'!$G$10:$G$13,'Facturas y gastos'!$A$10:$A$13,A438)/SUMIFS('Facturas y gastos'!$D$10:$D$13,'Facturas y gastos'!$A$10:$A$13,A438)))</f>
        <v>2.9551922515552644</v>
      </c>
      <c r="L438" s="8">
        <f>IF(J438="","",IF(SUMIFS('Facturas y gastos'!$D$10:$D$13,'Facturas y gastos'!$A$10:$A$13,A438)=0,"",J438*SUMIFS('Facturas y gastos'!$H$10:$H$13,'Facturas y gastos'!$A$10:$A$13,A438)/SUMIFS('Facturas y gastos'!$D$10:$D$13,'Facturas y gastos'!$A$10:$A$13,A438)))</f>
        <v>8.8655767546657938</v>
      </c>
      <c r="M438" s="8">
        <f>IF(J438="","",IF(SUMIFS('Facturas y gastos'!$D$10:$D$13,'Facturas y gastos'!$A$10:$A$13,A438)=0,"",J438*SUMIFS('Facturas y gastos'!$I$10:$I$13,'Facturas y gastos'!$A$10:$A$13,A438)/SUMIFS('Facturas y gastos'!$D$10:$D$13,'Facturas y gastos'!$A$10:$A$13,A438)))</f>
        <v>51.01059450540037</v>
      </c>
      <c r="N438" s="8">
        <f>IF(J438="","",IF(SUMIFS('Facturas y gastos'!$D$10:$D$13,'Facturas y gastos'!$A$10:$A$13,A438)=0,"",J438*SUMIFS('Facturas y gastos'!$J$10:$J$13,'Facturas y gastos'!$A$10:$A$13,A438)/SUMIFS('Facturas y gastos'!$D$10:$D$13,'Facturas y gastos'!$A$10:$A$13,A438)))</f>
        <v>0</v>
      </c>
      <c r="O438" s="8">
        <f t="shared" si="12"/>
        <v>352.44104357888358</v>
      </c>
      <c r="P438" s="8" t="str">
        <f>IF(OR(O438="",'Facturas y gastos'!$B$24="",'Facturas y gastos'!$B$45&lt;&gt;"OK",SUM($O$8:$O$657)=0),"",O438*'Facturas y gastos'!$B$43/SUM($O$8:$O$657))</f>
        <v/>
      </c>
      <c r="Q438" s="8" t="str">
        <f>IF(OR(O438="",'Facturas y gastos'!$B$5="",P438=""),"",O438*'Facturas y gastos'!$B$5+P438)</f>
        <v/>
      </c>
      <c r="R438" s="8" t="str">
        <f t="shared" si="13"/>
        <v/>
      </c>
    </row>
    <row r="439" spans="1:18">
      <c r="A439" s="25" t="s">
        <v>62</v>
      </c>
      <c r="B439" s="25">
        <v>54</v>
      </c>
      <c r="C439" s="25" t="s">
        <v>606</v>
      </c>
      <c r="D439" s="25" t="s">
        <v>603</v>
      </c>
      <c r="E439" s="25" t="s">
        <v>108</v>
      </c>
      <c r="F439" s="27">
        <v>24</v>
      </c>
      <c r="G439" s="27">
        <v>3</v>
      </c>
      <c r="H439" s="29">
        <v>3.73</v>
      </c>
      <c r="I439" s="29">
        <v>89.55</v>
      </c>
      <c r="J439" s="8">
        <f>IF(OR(A439="",I439=""),"",IF(SUMIFS($I$8:$I$657,$A$8:$A$657,A439)=0,"",I439*SUMIFS('Facturas y gastos'!$D$10:$D$13,'Facturas y gastos'!$A$10:$A$13,A439)/SUMIFS($I$8:$I$657,$A$8:$A$657,A439)))</f>
        <v>89.550019566448569</v>
      </c>
      <c r="K439" s="8">
        <f>IF(J439="","",IF(SUMIFS('Facturas y gastos'!$D$10:$D$13,'Facturas y gastos'!$A$10:$A$13,A439)=0,"",J439*SUMIFS('Facturas y gastos'!$G$10:$G$13,'Facturas y gastos'!$A$10:$A$13,A439)/SUMIFS('Facturas y gastos'!$D$10:$D$13,'Facturas y gastos'!$A$10:$A$13,A439)))</f>
        <v>0.89549765202617071</v>
      </c>
      <c r="L439" s="8">
        <f>IF(J439="","",IF(SUMIFS('Facturas y gastos'!$D$10:$D$13,'Facturas y gastos'!$A$10:$A$13,A439)=0,"",J439*SUMIFS('Facturas y gastos'!$H$10:$H$13,'Facturas y gastos'!$A$10:$A$13,A439)/SUMIFS('Facturas y gastos'!$D$10:$D$13,'Facturas y gastos'!$A$10:$A$13,A439)))</f>
        <v>2.6864929560785122</v>
      </c>
      <c r="M439" s="8">
        <f>IF(J439="","",IF(SUMIFS('Facturas y gastos'!$D$10:$D$13,'Facturas y gastos'!$A$10:$A$13,A439)=0,"",J439*SUMIFS('Facturas y gastos'!$I$10:$I$13,'Facturas y gastos'!$A$10:$A$13,A439)/SUMIFS('Facturas y gastos'!$D$10:$D$13,'Facturas y gastos'!$A$10:$A$13,A439)))</f>
        <v>15.457494375875083</v>
      </c>
      <c r="N439" s="8">
        <f>IF(J439="","",IF(SUMIFS('Facturas y gastos'!$D$10:$D$13,'Facturas y gastos'!$A$10:$A$13,A439)=0,"",J439*SUMIFS('Facturas y gastos'!$J$10:$J$13,'Facturas y gastos'!$A$10:$A$13,A439)/SUMIFS('Facturas y gastos'!$D$10:$D$13,'Facturas y gastos'!$A$10:$A$13,A439)))</f>
        <v>0</v>
      </c>
      <c r="O439" s="8">
        <f t="shared" si="12"/>
        <v>106.798509246376</v>
      </c>
      <c r="P439" s="8" t="str">
        <f>IF(OR(O439="",'Facturas y gastos'!$B$24="",'Facturas y gastos'!$B$45&lt;&gt;"OK",SUM($O$8:$O$657)=0),"",O439*'Facturas y gastos'!$B$43/SUM($O$8:$O$657))</f>
        <v/>
      </c>
      <c r="Q439" s="8" t="str">
        <f>IF(OR(O439="",'Facturas y gastos'!$B$5="",P439=""),"",O439*'Facturas y gastos'!$B$5+P439)</f>
        <v/>
      </c>
      <c r="R439" s="8" t="str">
        <f t="shared" si="13"/>
        <v/>
      </c>
    </row>
    <row r="440" spans="1:18">
      <c r="A440" s="25" t="s">
        <v>62</v>
      </c>
      <c r="B440" s="25">
        <v>55</v>
      </c>
      <c r="C440" s="25" t="s">
        <v>607</v>
      </c>
      <c r="D440" s="25" t="s">
        <v>603</v>
      </c>
      <c r="E440" s="25" t="s">
        <v>108</v>
      </c>
      <c r="F440" s="27">
        <v>30</v>
      </c>
      <c r="G440" s="27">
        <v>3</v>
      </c>
      <c r="H440" s="29">
        <v>3.13</v>
      </c>
      <c r="I440" s="29">
        <v>94.03</v>
      </c>
      <c r="J440" s="8">
        <f>IF(OR(A440="",I440=""),"",IF(SUMIFS($I$8:$I$657,$A$8:$A$657,A440)=0,"",I440*SUMIFS('Facturas y gastos'!$D$10:$D$13,'Facturas y gastos'!$A$10:$A$13,A440)/SUMIFS($I$8:$I$657,$A$8:$A$657,A440)))</f>
        <v>94.030020545317228</v>
      </c>
      <c r="K440" s="8">
        <f>IF(J440="","",IF(SUMIFS('Facturas y gastos'!$D$10:$D$13,'Facturas y gastos'!$A$10:$A$13,A440)=0,"",J440*SUMIFS('Facturas y gastos'!$G$10:$G$13,'Facturas y gastos'!$A$10:$A$13,A440)/SUMIFS('Facturas y gastos'!$D$10:$D$13,'Facturas y gastos'!$A$10:$A$13,A440)))</f>
        <v>0.94029753456192988</v>
      </c>
      <c r="L440" s="8">
        <f>IF(J440="","",IF(SUMIFS('Facturas y gastos'!$D$10:$D$13,'Facturas y gastos'!$A$10:$A$13,A440)=0,"",J440*SUMIFS('Facturas y gastos'!$H$10:$H$13,'Facturas y gastos'!$A$10:$A$13,A440)/SUMIFS('Facturas y gastos'!$D$10:$D$13,'Facturas y gastos'!$A$10:$A$13,A440)))</f>
        <v>2.8208926036857895</v>
      </c>
      <c r="M440" s="8">
        <f>IF(J440="","",IF(SUMIFS('Facturas y gastos'!$D$10:$D$13,'Facturas y gastos'!$A$10:$A$13,A440)=0,"",J440*SUMIFS('Facturas y gastos'!$I$10:$I$13,'Facturas y gastos'!$A$10:$A$13,A440)/SUMIFS('Facturas y gastos'!$D$10:$D$13,'Facturas y gastos'!$A$10:$A$13,A440)))</f>
        <v>16.230800627175139</v>
      </c>
      <c r="N440" s="8">
        <f>IF(J440="","",IF(SUMIFS('Facturas y gastos'!$D$10:$D$13,'Facturas y gastos'!$A$10:$A$13,A440)=0,"",J440*SUMIFS('Facturas y gastos'!$J$10:$J$13,'Facturas y gastos'!$A$10:$A$13,A440)/SUMIFS('Facturas y gastos'!$D$10:$D$13,'Facturas y gastos'!$A$10:$A$13,A440)))</f>
        <v>0</v>
      </c>
      <c r="O440" s="8">
        <f t="shared" si="12"/>
        <v>112.14141624161623</v>
      </c>
      <c r="P440" s="8" t="str">
        <f>IF(OR(O440="",'Facturas y gastos'!$B$24="",'Facturas y gastos'!$B$45&lt;&gt;"OK",SUM($O$8:$O$657)=0),"",O440*'Facturas y gastos'!$B$43/SUM($O$8:$O$657))</f>
        <v/>
      </c>
      <c r="Q440" s="8" t="str">
        <f>IF(OR(O440="",'Facturas y gastos'!$B$5="",P440=""),"",O440*'Facturas y gastos'!$B$5+P440)</f>
        <v/>
      </c>
      <c r="R440" s="8" t="str">
        <f t="shared" si="13"/>
        <v/>
      </c>
    </row>
    <row r="441" spans="1:18">
      <c r="A441" s="25" t="s">
        <v>62</v>
      </c>
      <c r="B441" s="25">
        <v>56</v>
      </c>
      <c r="C441" s="25" t="s">
        <v>608</v>
      </c>
      <c r="D441" s="25" t="s">
        <v>603</v>
      </c>
      <c r="E441" s="25" t="s">
        <v>108</v>
      </c>
      <c r="F441" s="27">
        <v>12</v>
      </c>
      <c r="G441" s="27">
        <v>3</v>
      </c>
      <c r="H441" s="29">
        <v>13.58</v>
      </c>
      <c r="I441" s="29">
        <v>162.99</v>
      </c>
      <c r="J441" s="8">
        <f>IF(OR(A441="",I441=""),"",IF(SUMIFS($I$8:$I$657,$A$8:$A$657,A441)=0,"",I441*SUMIFS('Facturas y gastos'!$D$10:$D$13,'Facturas y gastos'!$A$10:$A$13,A441)/SUMIFS($I$8:$I$657,$A$8:$A$657,A441)))</f>
        <v>162.99003561290289</v>
      </c>
      <c r="K441" s="8">
        <f>IF(J441="","",IF(SUMIFS('Facturas y gastos'!$D$10:$D$13,'Facturas y gastos'!$A$10:$A$13,A441)=0,"",J441*SUMIFS('Facturas y gastos'!$G$10:$G$13,'Facturas y gastos'!$A$10:$A$13,A441)/SUMIFS('Facturas y gastos'!$D$10:$D$13,'Facturas y gastos'!$A$10:$A$13,A441)))</f>
        <v>1.6298957264516538</v>
      </c>
      <c r="L441" s="8">
        <f>IF(J441="","",IF(SUMIFS('Facturas y gastos'!$D$10:$D$13,'Facturas y gastos'!$A$10:$A$13,A441)=0,"",J441*SUMIFS('Facturas y gastos'!$H$10:$H$13,'Facturas y gastos'!$A$10:$A$13,A441)/SUMIFS('Facturas y gastos'!$D$10:$D$13,'Facturas y gastos'!$A$10:$A$13,A441)))</f>
        <v>4.8896871793549606</v>
      </c>
      <c r="M441" s="8">
        <f>IF(J441="","",IF(SUMIFS('Facturas y gastos'!$D$10:$D$13,'Facturas y gastos'!$A$10:$A$13,A441)=0,"",J441*SUMIFS('Facturas y gastos'!$I$10:$I$13,'Facturas y gastos'!$A$10:$A$13,A441)/SUMIFS('Facturas y gastos'!$D$10:$D$13,'Facturas y gastos'!$A$10:$A$13,A441)))</f>
        <v>28.134193281115351</v>
      </c>
      <c r="N441" s="8">
        <f>IF(J441="","",IF(SUMIFS('Facturas y gastos'!$D$10:$D$13,'Facturas y gastos'!$A$10:$A$13,A441)=0,"",J441*SUMIFS('Facturas y gastos'!$J$10:$J$13,'Facturas y gastos'!$A$10:$A$13,A441)/SUMIFS('Facturas y gastos'!$D$10:$D$13,'Facturas y gastos'!$A$10:$A$13,A441)))</f>
        <v>0</v>
      </c>
      <c r="O441" s="8">
        <f t="shared" si="12"/>
        <v>194.38402034692155</v>
      </c>
      <c r="P441" s="8" t="str">
        <f>IF(OR(O441="",'Facturas y gastos'!$B$24="",'Facturas y gastos'!$B$45&lt;&gt;"OK",SUM($O$8:$O$657)=0),"",O441*'Facturas y gastos'!$B$43/SUM($O$8:$O$657))</f>
        <v/>
      </c>
      <c r="Q441" s="8" t="str">
        <f>IF(OR(O441="",'Facturas y gastos'!$B$5="",P441=""),"",O441*'Facturas y gastos'!$B$5+P441)</f>
        <v/>
      </c>
      <c r="R441" s="8" t="str">
        <f t="shared" si="13"/>
        <v/>
      </c>
    </row>
    <row r="442" spans="1:18">
      <c r="A442" s="25" t="s">
        <v>62</v>
      </c>
      <c r="B442" s="25">
        <v>57</v>
      </c>
      <c r="C442" s="25" t="s">
        <v>609</v>
      </c>
      <c r="D442" s="25" t="s">
        <v>603</v>
      </c>
      <c r="E442" s="25" t="s">
        <v>108</v>
      </c>
      <c r="F442" s="27">
        <v>18</v>
      </c>
      <c r="G442" s="27">
        <v>3</v>
      </c>
      <c r="H442" s="29">
        <v>8.81</v>
      </c>
      <c r="I442" s="29">
        <v>158.51</v>
      </c>
      <c r="J442" s="8">
        <f>IF(OR(A442="",I442=""),"",IF(SUMIFS($I$8:$I$657,$A$8:$A$657,A442)=0,"",I442*SUMIFS('Facturas y gastos'!$D$10:$D$13,'Facturas y gastos'!$A$10:$A$13,A442)/SUMIFS($I$8:$I$657,$A$8:$A$657,A442)))</f>
        <v>158.51003463403418</v>
      </c>
      <c r="K442" s="8">
        <f>IF(J442="","",IF(SUMIFS('Facturas y gastos'!$D$10:$D$13,'Facturas y gastos'!$A$10:$A$13,A442)=0,"",J442*SUMIFS('Facturas y gastos'!$G$10:$G$13,'Facturas y gastos'!$A$10:$A$13,A442)/SUMIFS('Facturas y gastos'!$D$10:$D$13,'Facturas y gastos'!$A$10:$A$13,A442)))</f>
        <v>1.585095843915894</v>
      </c>
      <c r="L442" s="8">
        <f>IF(J442="","",IF(SUMIFS('Facturas y gastos'!$D$10:$D$13,'Facturas y gastos'!$A$10:$A$13,A442)=0,"",J442*SUMIFS('Facturas y gastos'!$H$10:$H$13,'Facturas y gastos'!$A$10:$A$13,A442)/SUMIFS('Facturas y gastos'!$D$10:$D$13,'Facturas y gastos'!$A$10:$A$13,A442)))</f>
        <v>4.7552875317476824</v>
      </c>
      <c r="M442" s="8">
        <f>IF(J442="","",IF(SUMIFS('Facturas y gastos'!$D$10:$D$13,'Facturas y gastos'!$A$10:$A$13,A442)=0,"",J442*SUMIFS('Facturas y gastos'!$I$10:$I$13,'Facturas y gastos'!$A$10:$A$13,A442)/SUMIFS('Facturas y gastos'!$D$10:$D$13,'Facturas y gastos'!$A$10:$A$13,A442)))</f>
        <v>27.360887029815288</v>
      </c>
      <c r="N442" s="8">
        <f>IF(J442="","",IF(SUMIFS('Facturas y gastos'!$D$10:$D$13,'Facturas y gastos'!$A$10:$A$13,A442)=0,"",J442*SUMIFS('Facturas y gastos'!$J$10:$J$13,'Facturas y gastos'!$A$10:$A$13,A442)/SUMIFS('Facturas y gastos'!$D$10:$D$13,'Facturas y gastos'!$A$10:$A$13,A442)))</f>
        <v>0</v>
      </c>
      <c r="O442" s="8">
        <f t="shared" si="12"/>
        <v>189.04111335168125</v>
      </c>
      <c r="P442" s="8" t="str">
        <f>IF(OR(O442="",'Facturas y gastos'!$B$24="",'Facturas y gastos'!$B$45&lt;&gt;"OK",SUM($O$8:$O$657)=0),"",O442*'Facturas y gastos'!$B$43/SUM($O$8:$O$657))</f>
        <v/>
      </c>
      <c r="Q442" s="8" t="str">
        <f>IF(OR(O442="",'Facturas y gastos'!$B$5="",P442=""),"",O442*'Facturas y gastos'!$B$5+P442)</f>
        <v/>
      </c>
      <c r="R442" s="8" t="str">
        <f t="shared" si="13"/>
        <v/>
      </c>
    </row>
    <row r="443" spans="1:18">
      <c r="A443" s="25" t="s">
        <v>62</v>
      </c>
      <c r="B443" s="25">
        <v>58</v>
      </c>
      <c r="C443" s="25" t="s">
        <v>610</v>
      </c>
      <c r="D443" s="25" t="s">
        <v>603</v>
      </c>
      <c r="E443" s="25" t="s">
        <v>108</v>
      </c>
      <c r="F443" s="27">
        <v>18</v>
      </c>
      <c r="G443" s="27">
        <v>3</v>
      </c>
      <c r="H443" s="29">
        <v>15.22</v>
      </c>
      <c r="I443" s="29">
        <v>274.02999999999997</v>
      </c>
      <c r="J443" s="8">
        <f>IF(OR(A443="",I443=""),"",IF(SUMIFS($I$8:$I$657,$A$8:$A$657,A443)=0,"",I443*SUMIFS('Facturas y gastos'!$D$10:$D$13,'Facturas y gastos'!$A$10:$A$13,A443)/SUMIFS($I$8:$I$657,$A$8:$A$657,A443)))</f>
        <v>274.03005987486205</v>
      </c>
      <c r="K443" s="8">
        <f>IF(J443="","",IF(SUMIFS('Facturas y gastos'!$D$10:$D$13,'Facturas y gastos'!$A$10:$A$13,A443)=0,"",J443*SUMIFS('Facturas y gastos'!$G$10:$G$13,'Facturas y gastos'!$A$10:$A$13,A443)/SUMIFS('Facturas y gastos'!$D$10:$D$13,'Facturas y gastos'!$A$10:$A$13,A443)))</f>
        <v>2.7402928150165442</v>
      </c>
      <c r="L443" s="8">
        <f>IF(J443="","",IF(SUMIFS('Facturas y gastos'!$D$10:$D$13,'Facturas y gastos'!$A$10:$A$13,A443)=0,"",J443*SUMIFS('Facturas y gastos'!$H$10:$H$13,'Facturas y gastos'!$A$10:$A$13,A443)/SUMIFS('Facturas y gastos'!$D$10:$D$13,'Facturas y gastos'!$A$10:$A$13,A443)))</f>
        <v>8.2208784450496317</v>
      </c>
      <c r="M443" s="8">
        <f>IF(J443="","",IF(SUMIFS('Facturas y gastos'!$D$10:$D$13,'Facturas y gastos'!$A$10:$A$13,A443)=0,"",J443*SUMIFS('Facturas y gastos'!$I$10:$I$13,'Facturas y gastos'!$A$10:$A$13,A443)/SUMIFS('Facturas y gastos'!$D$10:$D$13,'Facturas y gastos'!$A$10:$A$13,A443)))</f>
        <v>47.301141081195404</v>
      </c>
      <c r="N443" s="8">
        <f>IF(J443="","",IF(SUMIFS('Facturas y gastos'!$D$10:$D$13,'Facturas y gastos'!$A$10:$A$13,A443)=0,"",J443*SUMIFS('Facturas y gastos'!$J$10:$J$13,'Facturas y gastos'!$A$10:$A$13,A443)/SUMIFS('Facturas y gastos'!$D$10:$D$13,'Facturas y gastos'!$A$10:$A$13,A443)))</f>
        <v>0</v>
      </c>
      <c r="O443" s="8">
        <f t="shared" si="12"/>
        <v>326.81178658609053</v>
      </c>
      <c r="P443" s="8" t="str">
        <f>IF(OR(O443="",'Facturas y gastos'!$B$24="",'Facturas y gastos'!$B$45&lt;&gt;"OK",SUM($O$8:$O$657)=0),"",O443*'Facturas y gastos'!$B$43/SUM($O$8:$O$657))</f>
        <v/>
      </c>
      <c r="Q443" s="8" t="str">
        <f>IF(OR(O443="",'Facturas y gastos'!$B$5="",P443=""),"",O443*'Facturas y gastos'!$B$5+P443)</f>
        <v/>
      </c>
      <c r="R443" s="8" t="str">
        <f t="shared" si="13"/>
        <v/>
      </c>
    </row>
    <row r="444" spans="1:18">
      <c r="A444" s="25" t="s">
        <v>62</v>
      </c>
      <c r="B444" s="25">
        <v>59</v>
      </c>
      <c r="C444" s="25" t="s">
        <v>611</v>
      </c>
      <c r="D444" s="25" t="s">
        <v>603</v>
      </c>
      <c r="E444" s="25" t="s">
        <v>108</v>
      </c>
      <c r="F444" s="27">
        <v>15</v>
      </c>
      <c r="G444" s="27">
        <v>3</v>
      </c>
      <c r="H444" s="29">
        <v>18.36</v>
      </c>
      <c r="I444" s="29">
        <v>275.37</v>
      </c>
      <c r="J444" s="8">
        <f>IF(OR(A444="",I444=""),"",IF(SUMIFS($I$8:$I$657,$A$8:$A$657,A444)=0,"",I444*SUMIFS('Facturas y gastos'!$D$10:$D$13,'Facturas y gastos'!$A$10:$A$13,A444)/SUMIFS($I$8:$I$657,$A$8:$A$657,A444)))</f>
        <v>275.37006016764872</v>
      </c>
      <c r="K444" s="8">
        <f>IF(J444="","",IF(SUMIFS('Facturas y gastos'!$D$10:$D$13,'Facturas y gastos'!$A$10:$A$13,A444)=0,"",J444*SUMIFS('Facturas y gastos'!$G$10:$G$13,'Facturas y gastos'!$A$10:$A$13,A444)/SUMIFS('Facturas y gastos'!$D$10:$D$13,'Facturas y gastos'!$A$10:$A$13,A444)))</f>
        <v>2.7536927798821513</v>
      </c>
      <c r="L444" s="8">
        <f>IF(J444="","",IF(SUMIFS('Facturas y gastos'!$D$10:$D$13,'Facturas y gastos'!$A$10:$A$13,A444)=0,"",J444*SUMIFS('Facturas y gastos'!$H$10:$H$13,'Facturas y gastos'!$A$10:$A$13,A444)/SUMIFS('Facturas y gastos'!$D$10:$D$13,'Facturas y gastos'!$A$10:$A$13,A444)))</f>
        <v>8.2610783396464527</v>
      </c>
      <c r="M444" s="8">
        <f>IF(J444="","",IF(SUMIFS('Facturas y gastos'!$D$10:$D$13,'Facturas y gastos'!$A$10:$A$13,A444)=0,"",J444*SUMIFS('Facturas y gastos'!$I$10:$I$13,'Facturas y gastos'!$A$10:$A$13,A444)/SUMIFS('Facturas y gastos'!$D$10:$D$13,'Facturas y gastos'!$A$10:$A$13,A444)))</f>
        <v>47.532442504575336</v>
      </c>
      <c r="N444" s="8">
        <f>IF(J444="","",IF(SUMIFS('Facturas y gastos'!$D$10:$D$13,'Facturas y gastos'!$A$10:$A$13,A444)=0,"",J444*SUMIFS('Facturas y gastos'!$J$10:$J$13,'Facturas y gastos'!$A$10:$A$13,A444)/SUMIFS('Facturas y gastos'!$D$10:$D$13,'Facturas y gastos'!$A$10:$A$13,A444)))</f>
        <v>0</v>
      </c>
      <c r="O444" s="8">
        <f t="shared" si="12"/>
        <v>328.40988823198836</v>
      </c>
      <c r="P444" s="8" t="str">
        <f>IF(OR(O444="",'Facturas y gastos'!$B$24="",'Facturas y gastos'!$B$45&lt;&gt;"OK",SUM($O$8:$O$657)=0),"",O444*'Facturas y gastos'!$B$43/SUM($O$8:$O$657))</f>
        <v/>
      </c>
      <c r="Q444" s="8" t="str">
        <f>IF(OR(O444="",'Facturas y gastos'!$B$5="",P444=""),"",O444*'Facturas y gastos'!$B$5+P444)</f>
        <v/>
      </c>
      <c r="R444" s="8" t="str">
        <f t="shared" si="13"/>
        <v/>
      </c>
    </row>
    <row r="445" spans="1:18">
      <c r="A445" s="25" t="s">
        <v>62</v>
      </c>
      <c r="B445" s="25">
        <v>60</v>
      </c>
      <c r="C445" s="25" t="s">
        <v>612</v>
      </c>
      <c r="D445" s="25" t="s">
        <v>603</v>
      </c>
      <c r="E445" s="25" t="s">
        <v>108</v>
      </c>
      <c r="F445" s="27">
        <v>18</v>
      </c>
      <c r="G445" s="27">
        <v>3</v>
      </c>
      <c r="H445" s="29">
        <v>12.09</v>
      </c>
      <c r="I445" s="29">
        <v>217.61</v>
      </c>
      <c r="J445" s="8">
        <f>IF(OR(A445="",I445=""),"",IF(SUMIFS($I$8:$I$657,$A$8:$A$657,A445)=0,"",I445*SUMIFS('Facturas y gastos'!$D$10:$D$13,'Facturas y gastos'!$A$10:$A$13,A445)/SUMIFS($I$8:$I$657,$A$8:$A$657,A445)))</f>
        <v>217.61004754723476</v>
      </c>
      <c r="K445" s="8">
        <f>IF(J445="","",IF(SUMIFS('Facturas y gastos'!$D$10:$D$13,'Facturas y gastos'!$A$10:$A$13,A445)=0,"",J445*SUMIFS('Facturas y gastos'!$G$10:$G$13,'Facturas y gastos'!$A$10:$A$13,A445)/SUMIFS('Facturas y gastos'!$D$10:$D$13,'Facturas y gastos'!$A$10:$A$13,A445)))</f>
        <v>2.176094294331826</v>
      </c>
      <c r="L445" s="8">
        <f>IF(J445="","",IF(SUMIFS('Facturas y gastos'!$D$10:$D$13,'Facturas y gastos'!$A$10:$A$13,A445)=0,"",J445*SUMIFS('Facturas y gastos'!$H$10:$H$13,'Facturas y gastos'!$A$10:$A$13,A445)/SUMIFS('Facturas y gastos'!$D$10:$D$13,'Facturas y gastos'!$A$10:$A$13,A445)))</f>
        <v>6.5282828829954767</v>
      </c>
      <c r="M445" s="8">
        <f>IF(J445="","",IF(SUMIFS('Facturas y gastos'!$D$10:$D$13,'Facturas y gastos'!$A$10:$A$13,A445)=0,"",J445*SUMIFS('Facturas y gastos'!$I$10:$I$13,'Facturas y gastos'!$A$10:$A$13,A445)/SUMIFS('Facturas y gastos'!$D$10:$D$13,'Facturas y gastos'!$A$10:$A$13,A445)))</f>
        <v>37.562315478885282</v>
      </c>
      <c r="N445" s="8">
        <f>IF(J445="","",IF(SUMIFS('Facturas y gastos'!$D$10:$D$13,'Facturas y gastos'!$A$10:$A$13,A445)=0,"",J445*SUMIFS('Facturas y gastos'!$J$10:$J$13,'Facturas y gastos'!$A$10:$A$13,A445)/SUMIFS('Facturas y gastos'!$D$10:$D$13,'Facturas y gastos'!$A$10:$A$13,A445)))</f>
        <v>0</v>
      </c>
      <c r="O445" s="8">
        <f t="shared" si="12"/>
        <v>259.52455161478372</v>
      </c>
      <c r="P445" s="8" t="str">
        <f>IF(OR(O445="",'Facturas y gastos'!$B$24="",'Facturas y gastos'!$B$45&lt;&gt;"OK",SUM($O$8:$O$657)=0),"",O445*'Facturas y gastos'!$B$43/SUM($O$8:$O$657))</f>
        <v/>
      </c>
      <c r="Q445" s="8" t="str">
        <f>IF(OR(O445="",'Facturas y gastos'!$B$5="",P445=""),"",O445*'Facturas y gastos'!$B$5+P445)</f>
        <v/>
      </c>
      <c r="R445" s="8" t="str">
        <f t="shared" si="13"/>
        <v/>
      </c>
    </row>
    <row r="446" spans="1:18">
      <c r="A446" s="25" t="s">
        <v>62</v>
      </c>
      <c r="B446" s="25">
        <v>61</v>
      </c>
      <c r="C446" s="25" t="s">
        <v>613</v>
      </c>
      <c r="D446" s="25" t="s">
        <v>603</v>
      </c>
      <c r="E446" s="25" t="s">
        <v>108</v>
      </c>
      <c r="F446" s="27">
        <v>12</v>
      </c>
      <c r="G446" s="27">
        <v>3</v>
      </c>
      <c r="H446" s="29">
        <v>14.93</v>
      </c>
      <c r="I446" s="29">
        <v>179.1</v>
      </c>
      <c r="J446" s="8">
        <f>IF(OR(A446="",I446=""),"",IF(SUMIFS($I$8:$I$657,$A$8:$A$657,A446)=0,"",I446*SUMIFS('Facturas y gastos'!$D$10:$D$13,'Facturas y gastos'!$A$10:$A$13,A446)/SUMIFS($I$8:$I$657,$A$8:$A$657,A446)))</f>
        <v>179.10003913289714</v>
      </c>
      <c r="K446" s="8">
        <f>IF(J446="","",IF(SUMIFS('Facturas y gastos'!$D$10:$D$13,'Facturas y gastos'!$A$10:$A$13,A446)=0,"",J446*SUMIFS('Facturas y gastos'!$G$10:$G$13,'Facturas y gastos'!$A$10:$A$13,A446)/SUMIFS('Facturas y gastos'!$D$10:$D$13,'Facturas y gastos'!$A$10:$A$13,A446)))</f>
        <v>1.7909953040523414</v>
      </c>
      <c r="L446" s="8">
        <f>IF(J446="","",IF(SUMIFS('Facturas y gastos'!$D$10:$D$13,'Facturas y gastos'!$A$10:$A$13,A446)=0,"",J446*SUMIFS('Facturas y gastos'!$H$10:$H$13,'Facturas y gastos'!$A$10:$A$13,A446)/SUMIFS('Facturas y gastos'!$D$10:$D$13,'Facturas y gastos'!$A$10:$A$13,A446)))</f>
        <v>5.3729859121570245</v>
      </c>
      <c r="M446" s="8">
        <f>IF(J446="","",IF(SUMIFS('Facturas y gastos'!$D$10:$D$13,'Facturas y gastos'!$A$10:$A$13,A446)=0,"",J446*SUMIFS('Facturas y gastos'!$I$10:$I$13,'Facturas y gastos'!$A$10:$A$13,A446)/SUMIFS('Facturas y gastos'!$D$10:$D$13,'Facturas y gastos'!$A$10:$A$13,A446)))</f>
        <v>30.914988751750165</v>
      </c>
      <c r="N446" s="8">
        <f>IF(J446="","",IF(SUMIFS('Facturas y gastos'!$D$10:$D$13,'Facturas y gastos'!$A$10:$A$13,A446)=0,"",J446*SUMIFS('Facturas y gastos'!$J$10:$J$13,'Facturas y gastos'!$A$10:$A$13,A446)/SUMIFS('Facturas y gastos'!$D$10:$D$13,'Facturas y gastos'!$A$10:$A$13,A446)))</f>
        <v>0</v>
      </c>
      <c r="O446" s="8">
        <f t="shared" si="12"/>
        <v>213.597018492752</v>
      </c>
      <c r="P446" s="8" t="str">
        <f>IF(OR(O446="",'Facturas y gastos'!$B$24="",'Facturas y gastos'!$B$45&lt;&gt;"OK",SUM($O$8:$O$657)=0),"",O446*'Facturas y gastos'!$B$43/SUM($O$8:$O$657))</f>
        <v/>
      </c>
      <c r="Q446" s="8" t="str">
        <f>IF(OR(O446="",'Facturas y gastos'!$B$5="",P446=""),"",O446*'Facturas y gastos'!$B$5+P446)</f>
        <v/>
      </c>
      <c r="R446" s="8" t="str">
        <f t="shared" si="13"/>
        <v/>
      </c>
    </row>
    <row r="447" spans="1:18">
      <c r="A447" s="25" t="s">
        <v>62</v>
      </c>
      <c r="B447" s="25">
        <v>62</v>
      </c>
      <c r="C447" s="25" t="s">
        <v>614</v>
      </c>
      <c r="D447" s="25" t="s">
        <v>603</v>
      </c>
      <c r="E447" s="25" t="s">
        <v>108</v>
      </c>
      <c r="F447" s="27">
        <v>78</v>
      </c>
      <c r="G447" s="27">
        <v>3</v>
      </c>
      <c r="H447" s="29">
        <v>1.94</v>
      </c>
      <c r="I447" s="29">
        <v>151.34</v>
      </c>
      <c r="J447" s="8">
        <f>IF(OR(A447="",I447=""),"",IF(SUMIFS($I$8:$I$657,$A$8:$A$657,A447)=0,"",I447*SUMIFS('Facturas y gastos'!$D$10:$D$13,'Facturas y gastos'!$A$10:$A$13,A447)/SUMIFS($I$8:$I$657,$A$8:$A$657,A447)))</f>
        <v>151.34003306740732</v>
      </c>
      <c r="K447" s="8">
        <f>IF(J447="","",IF(SUMIFS('Facturas y gastos'!$D$10:$D$13,'Facturas y gastos'!$A$10:$A$13,A447)=0,"",J447*SUMIFS('Facturas y gastos'!$G$10:$G$13,'Facturas y gastos'!$A$10:$A$13,A447)/SUMIFS('Facturas y gastos'!$D$10:$D$13,'Facturas y gastos'!$A$10:$A$13,A447)))</f>
        <v>1.5133960319111186</v>
      </c>
      <c r="L447" s="8">
        <f>IF(J447="","",IF(SUMIFS('Facturas y gastos'!$D$10:$D$13,'Facturas y gastos'!$A$10:$A$13,A447)=0,"",J447*SUMIFS('Facturas y gastos'!$H$10:$H$13,'Facturas y gastos'!$A$10:$A$13,A447)/SUMIFS('Facturas y gastos'!$D$10:$D$13,'Facturas y gastos'!$A$10:$A$13,A447)))</f>
        <v>4.540188095733356</v>
      </c>
      <c r="M447" s="8">
        <f>IF(J447="","",IF(SUMIFS('Facturas y gastos'!$D$10:$D$13,'Facturas y gastos'!$A$10:$A$13,A447)=0,"",J447*SUMIFS('Facturas y gastos'!$I$10:$I$13,'Facturas y gastos'!$A$10:$A$13,A447)/SUMIFS('Facturas y gastos'!$D$10:$D$13,'Facturas y gastos'!$A$10:$A$13,A447)))</f>
        <v>26.123251801730149</v>
      </c>
      <c r="N447" s="8">
        <f>IF(J447="","",IF(SUMIFS('Facturas y gastos'!$D$10:$D$13,'Facturas y gastos'!$A$10:$A$13,A447)=0,"",J447*SUMIFS('Facturas y gastos'!$J$10:$J$13,'Facturas y gastos'!$A$10:$A$13,A447)/SUMIFS('Facturas y gastos'!$D$10:$D$13,'Facturas y gastos'!$A$10:$A$13,A447)))</f>
        <v>0</v>
      </c>
      <c r="O447" s="8">
        <f t="shared" si="12"/>
        <v>180.49007693295971</v>
      </c>
      <c r="P447" s="8" t="str">
        <f>IF(OR(O447="",'Facturas y gastos'!$B$24="",'Facturas y gastos'!$B$45&lt;&gt;"OK",SUM($O$8:$O$657)=0),"",O447*'Facturas y gastos'!$B$43/SUM($O$8:$O$657))</f>
        <v/>
      </c>
      <c r="Q447" s="8" t="str">
        <f>IF(OR(O447="",'Facturas y gastos'!$B$5="",P447=""),"",O447*'Facturas y gastos'!$B$5+P447)</f>
        <v/>
      </c>
      <c r="R447" s="8" t="str">
        <f t="shared" si="13"/>
        <v/>
      </c>
    </row>
    <row r="448" spans="1:18">
      <c r="A448" s="25" t="s">
        <v>62</v>
      </c>
      <c r="B448" s="25">
        <v>63</v>
      </c>
      <c r="C448" s="25" t="s">
        <v>615</v>
      </c>
      <c r="D448" s="25" t="s">
        <v>603</v>
      </c>
      <c r="E448" s="25" t="s">
        <v>108</v>
      </c>
      <c r="F448" s="27">
        <v>72</v>
      </c>
      <c r="G448" s="27">
        <v>3</v>
      </c>
      <c r="H448" s="29">
        <v>2.54</v>
      </c>
      <c r="I448" s="29">
        <v>182.69</v>
      </c>
      <c r="J448" s="8">
        <f>IF(OR(A448="",I448=""),"",IF(SUMIFS($I$8:$I$657,$A$8:$A$657,A448)=0,"",I448*SUMIFS('Facturas y gastos'!$D$10:$D$13,'Facturas y gastos'!$A$10:$A$13,A448)/SUMIFS($I$8:$I$657,$A$8:$A$657,A448)))</f>
        <v>182.69003991730304</v>
      </c>
      <c r="K448" s="8">
        <f>IF(J448="","",IF(SUMIFS('Facturas y gastos'!$D$10:$D$13,'Facturas y gastos'!$A$10:$A$13,A448)=0,"",J448*SUMIFS('Facturas y gastos'!$G$10:$G$13,'Facturas y gastos'!$A$10:$A$13,A448)/SUMIFS('Facturas y gastos'!$D$10:$D$13,'Facturas y gastos'!$A$10:$A$13,A448)))</f>
        <v>1.8268952099236306</v>
      </c>
      <c r="L448" s="8">
        <f>IF(J448="","",IF(SUMIFS('Facturas y gastos'!$D$10:$D$13,'Facturas y gastos'!$A$10:$A$13,A448)=0,"",J448*SUMIFS('Facturas y gastos'!$H$10:$H$13,'Facturas y gastos'!$A$10:$A$13,A448)/SUMIFS('Facturas y gastos'!$D$10:$D$13,'Facturas y gastos'!$A$10:$A$13,A448)))</f>
        <v>5.4806856297708917</v>
      </c>
      <c r="M448" s="8">
        <f>IF(J448="","",IF(SUMIFS('Facturas y gastos'!$D$10:$D$13,'Facturas y gastos'!$A$10:$A$13,A448)=0,"",J448*SUMIFS('Facturas y gastos'!$I$10:$I$13,'Facturas y gastos'!$A$10:$A$13,A448)/SUMIFS('Facturas y gastos'!$D$10:$D$13,'Facturas y gastos'!$A$10:$A$13,A448)))</f>
        <v>31.534669430805344</v>
      </c>
      <c r="N448" s="8">
        <f>IF(J448="","",IF(SUMIFS('Facturas y gastos'!$D$10:$D$13,'Facturas y gastos'!$A$10:$A$13,A448)=0,"",J448*SUMIFS('Facturas y gastos'!$J$10:$J$13,'Facturas y gastos'!$A$10:$A$13,A448)/SUMIFS('Facturas y gastos'!$D$10:$D$13,'Facturas y gastos'!$A$10:$A$13,A448)))</f>
        <v>0</v>
      </c>
      <c r="O448" s="8">
        <f t="shared" si="12"/>
        <v>217.87849976795565</v>
      </c>
      <c r="P448" s="8" t="str">
        <f>IF(OR(O448="",'Facturas y gastos'!$B$24="",'Facturas y gastos'!$B$45&lt;&gt;"OK",SUM($O$8:$O$657)=0),"",O448*'Facturas y gastos'!$B$43/SUM($O$8:$O$657))</f>
        <v/>
      </c>
      <c r="Q448" s="8" t="str">
        <f>IF(OR(O448="",'Facturas y gastos'!$B$5="",P448=""),"",O448*'Facturas y gastos'!$B$5+P448)</f>
        <v/>
      </c>
      <c r="R448" s="8" t="str">
        <f t="shared" si="13"/>
        <v/>
      </c>
    </row>
    <row r="449" spans="1:18">
      <c r="A449" s="25" t="s">
        <v>62</v>
      </c>
      <c r="B449" s="25">
        <v>64</v>
      </c>
      <c r="C449" s="25" t="s">
        <v>616</v>
      </c>
      <c r="D449" s="25" t="s">
        <v>603</v>
      </c>
      <c r="E449" s="25" t="s">
        <v>108</v>
      </c>
      <c r="F449" s="27">
        <v>30</v>
      </c>
      <c r="G449" s="27">
        <v>3</v>
      </c>
      <c r="H449" s="29">
        <v>6.72</v>
      </c>
      <c r="I449" s="29">
        <v>201.49</v>
      </c>
      <c r="J449" s="8">
        <f>IF(OR(A449="",I449=""),"",IF(SUMIFS($I$8:$I$657,$A$8:$A$657,A449)=0,"",I449*SUMIFS('Facturas y gastos'!$D$10:$D$13,'Facturas y gastos'!$A$10:$A$13,A449)/SUMIFS($I$8:$I$657,$A$8:$A$657,A449)))</f>
        <v>201.49004402505554</v>
      </c>
      <c r="K449" s="8">
        <f>IF(J449="","",IF(SUMIFS('Facturas y gastos'!$D$10:$D$13,'Facturas y gastos'!$A$10:$A$13,A449)=0,"",J449*SUMIFS('Facturas y gastos'!$G$10:$G$13,'Facturas y gastos'!$A$10:$A$13,A449)/SUMIFS('Facturas y gastos'!$D$10:$D$13,'Facturas y gastos'!$A$10:$A$13,A449)))</f>
        <v>2.0148947169933349</v>
      </c>
      <c r="L449" s="8">
        <f>IF(J449="","",IF(SUMIFS('Facturas y gastos'!$D$10:$D$13,'Facturas y gastos'!$A$10:$A$13,A449)=0,"",J449*SUMIFS('Facturas y gastos'!$H$10:$H$13,'Facturas y gastos'!$A$10:$A$13,A449)/SUMIFS('Facturas y gastos'!$D$10:$D$13,'Facturas y gastos'!$A$10:$A$13,A449)))</f>
        <v>6.0446841509800047</v>
      </c>
      <c r="M449" s="8">
        <f>IF(J449="","",IF(SUMIFS('Facturas y gastos'!$D$10:$D$13,'Facturas y gastos'!$A$10:$A$13,A449)=0,"",J449*SUMIFS('Facturas y gastos'!$I$10:$I$13,'Facturas y gastos'!$A$10:$A$13,A449)/SUMIFS('Facturas y gastos'!$D$10:$D$13,'Facturas y gastos'!$A$10:$A$13,A449)))</f>
        <v>34.779793878225242</v>
      </c>
      <c r="N449" s="8">
        <f>IF(J449="","",IF(SUMIFS('Facturas y gastos'!$D$10:$D$13,'Facturas y gastos'!$A$10:$A$13,A449)=0,"",J449*SUMIFS('Facturas y gastos'!$J$10:$J$13,'Facturas y gastos'!$A$10:$A$13,A449)/SUMIFS('Facturas y gastos'!$D$10:$D$13,'Facturas y gastos'!$A$10:$A$13,A449)))</f>
        <v>0</v>
      </c>
      <c r="O449" s="8">
        <f t="shared" si="12"/>
        <v>240.29962733726745</v>
      </c>
      <c r="P449" s="8" t="str">
        <f>IF(OR(O449="",'Facturas y gastos'!$B$24="",'Facturas y gastos'!$B$45&lt;&gt;"OK",SUM($O$8:$O$657)=0),"",O449*'Facturas y gastos'!$B$43/SUM($O$8:$O$657))</f>
        <v/>
      </c>
      <c r="Q449" s="8" t="str">
        <f>IF(OR(O449="",'Facturas y gastos'!$B$5="",P449=""),"",O449*'Facturas y gastos'!$B$5+P449)</f>
        <v/>
      </c>
      <c r="R449" s="8" t="str">
        <f t="shared" si="13"/>
        <v/>
      </c>
    </row>
    <row r="450" spans="1:18">
      <c r="A450" s="25" t="s">
        <v>62</v>
      </c>
      <c r="B450" s="25">
        <v>65</v>
      </c>
      <c r="C450" s="25" t="s">
        <v>617</v>
      </c>
      <c r="D450" s="25" t="s">
        <v>603</v>
      </c>
      <c r="E450" s="25" t="s">
        <v>108</v>
      </c>
      <c r="F450" s="27">
        <v>60</v>
      </c>
      <c r="G450" s="27">
        <v>3</v>
      </c>
      <c r="H450" s="29">
        <v>4.78</v>
      </c>
      <c r="I450" s="29">
        <v>286.57</v>
      </c>
      <c r="J450" s="8">
        <f>IF(OR(A450="",I450=""),"",IF(SUMIFS($I$8:$I$657,$A$8:$A$657,A450)=0,"",I450*SUMIFS('Facturas y gastos'!$D$10:$D$13,'Facturas y gastos'!$A$10:$A$13,A450)/SUMIFS($I$8:$I$657,$A$8:$A$657,A450)))</f>
        <v>286.57006261482036</v>
      </c>
      <c r="K450" s="8">
        <f>IF(J450="","",IF(SUMIFS('Facturas y gastos'!$D$10:$D$13,'Facturas y gastos'!$A$10:$A$13,A450)=0,"",J450*SUMIFS('Facturas y gastos'!$G$10:$G$13,'Facturas y gastos'!$A$10:$A$13,A450)/SUMIFS('Facturas y gastos'!$D$10:$D$13,'Facturas y gastos'!$A$10:$A$13,A450)))</f>
        <v>2.8656924862215489</v>
      </c>
      <c r="L450" s="8">
        <f>IF(J450="","",IF(SUMIFS('Facturas y gastos'!$D$10:$D$13,'Facturas y gastos'!$A$10:$A$13,A450)=0,"",J450*SUMIFS('Facturas y gastos'!$H$10:$H$13,'Facturas y gastos'!$A$10:$A$13,A450)/SUMIFS('Facturas y gastos'!$D$10:$D$13,'Facturas y gastos'!$A$10:$A$13,A450)))</f>
        <v>8.5970774586646463</v>
      </c>
      <c r="M450" s="8">
        <f>IF(J450="","",IF(SUMIFS('Facturas y gastos'!$D$10:$D$13,'Facturas y gastos'!$A$10:$A$13,A450)=0,"",J450*SUMIFS('Facturas y gastos'!$I$10:$I$13,'Facturas y gastos'!$A$10:$A$13,A450)/SUMIFS('Facturas y gastos'!$D$10:$D$13,'Facturas y gastos'!$A$10:$A$13,A450)))</f>
        <v>49.465708132825476</v>
      </c>
      <c r="N450" s="8">
        <f>IF(J450="","",IF(SUMIFS('Facturas y gastos'!$D$10:$D$13,'Facturas y gastos'!$A$10:$A$13,A450)=0,"",J450*SUMIFS('Facturas y gastos'!$J$10:$J$13,'Facturas y gastos'!$A$10:$A$13,A450)/SUMIFS('Facturas y gastos'!$D$10:$D$13,'Facturas y gastos'!$A$10:$A$13,A450)))</f>
        <v>0</v>
      </c>
      <c r="O450" s="8">
        <f t="shared" si="12"/>
        <v>341.76715572008891</v>
      </c>
      <c r="P450" s="8" t="str">
        <f>IF(OR(O450="",'Facturas y gastos'!$B$24="",'Facturas y gastos'!$B$45&lt;&gt;"OK",SUM($O$8:$O$657)=0),"",O450*'Facturas y gastos'!$B$43/SUM($O$8:$O$657))</f>
        <v/>
      </c>
      <c r="Q450" s="8" t="str">
        <f>IF(OR(O450="",'Facturas y gastos'!$B$5="",P450=""),"",O450*'Facturas y gastos'!$B$5+P450)</f>
        <v/>
      </c>
      <c r="R450" s="8" t="str">
        <f t="shared" si="13"/>
        <v/>
      </c>
    </row>
    <row r="451" spans="1:18">
      <c r="A451" s="25" t="s">
        <v>62</v>
      </c>
      <c r="B451" s="25">
        <v>66</v>
      </c>
      <c r="C451" s="25" t="s">
        <v>618</v>
      </c>
      <c r="D451" s="25" t="s">
        <v>603</v>
      </c>
      <c r="E451" s="25" t="s">
        <v>108</v>
      </c>
      <c r="F451" s="27">
        <v>60</v>
      </c>
      <c r="G451" s="27">
        <v>3</v>
      </c>
      <c r="H451" s="29">
        <v>2.76</v>
      </c>
      <c r="I451" s="29">
        <v>165.67</v>
      </c>
      <c r="J451" s="8">
        <f>IF(OR(A451="",I451=""),"",IF(SUMIFS($I$8:$I$657,$A$8:$A$657,A451)=0,"",I451*SUMIFS('Facturas y gastos'!$D$10:$D$13,'Facturas y gastos'!$A$10:$A$13,A451)/SUMIFS($I$8:$I$657,$A$8:$A$657,A451)))</f>
        <v>165.67003619847608</v>
      </c>
      <c r="K451" s="8">
        <f>IF(J451="","",IF(SUMIFS('Facturas y gastos'!$D$10:$D$13,'Facturas y gastos'!$A$10:$A$13,A451)=0,"",J451*SUMIFS('Facturas y gastos'!$G$10:$G$13,'Facturas y gastos'!$A$10:$A$13,A451)/SUMIFS('Facturas y gastos'!$D$10:$D$13,'Facturas y gastos'!$A$10:$A$13,A451)))</f>
        <v>1.6566956561828665</v>
      </c>
      <c r="L451" s="8">
        <f>IF(J451="","",IF(SUMIFS('Facturas y gastos'!$D$10:$D$13,'Facturas y gastos'!$A$10:$A$13,A451)=0,"",J451*SUMIFS('Facturas y gastos'!$H$10:$H$13,'Facturas y gastos'!$A$10:$A$13,A451)/SUMIFS('Facturas y gastos'!$D$10:$D$13,'Facturas y gastos'!$A$10:$A$13,A451)))</f>
        <v>4.9700869685485998</v>
      </c>
      <c r="M451" s="8">
        <f>IF(J451="","",IF(SUMIFS('Facturas y gastos'!$D$10:$D$13,'Facturas y gastos'!$A$10:$A$13,A451)=0,"",J451*SUMIFS('Facturas y gastos'!$I$10:$I$13,'Facturas y gastos'!$A$10:$A$13,A451)/SUMIFS('Facturas y gastos'!$D$10:$D$13,'Facturas y gastos'!$A$10:$A$13,A451)))</f>
        <v>28.596796127875201</v>
      </c>
      <c r="N451" s="8">
        <f>IF(J451="","",IF(SUMIFS('Facturas y gastos'!$D$10:$D$13,'Facturas y gastos'!$A$10:$A$13,A451)=0,"",J451*SUMIFS('Facturas y gastos'!$J$10:$J$13,'Facturas y gastos'!$A$10:$A$13,A451)/SUMIFS('Facturas y gastos'!$D$10:$D$13,'Facturas y gastos'!$A$10:$A$13,A451)))</f>
        <v>0</v>
      </c>
      <c r="O451" s="8">
        <f t="shared" si="12"/>
        <v>197.580223638717</v>
      </c>
      <c r="P451" s="8" t="str">
        <f>IF(OR(O451="",'Facturas y gastos'!$B$24="",'Facturas y gastos'!$B$45&lt;&gt;"OK",SUM($O$8:$O$657)=0),"",O451*'Facturas y gastos'!$B$43/SUM($O$8:$O$657))</f>
        <v/>
      </c>
      <c r="Q451" s="8" t="str">
        <f>IF(OR(O451="",'Facturas y gastos'!$B$5="",P451=""),"",O451*'Facturas y gastos'!$B$5+P451)</f>
        <v/>
      </c>
      <c r="R451" s="8" t="str">
        <f t="shared" si="13"/>
        <v/>
      </c>
    </row>
    <row r="452" spans="1:18">
      <c r="A452" s="25" t="s">
        <v>62</v>
      </c>
      <c r="B452" s="25">
        <v>67</v>
      </c>
      <c r="C452" s="25" t="s">
        <v>619</v>
      </c>
      <c r="D452" s="25" t="s">
        <v>603</v>
      </c>
      <c r="E452" s="25" t="s">
        <v>108</v>
      </c>
      <c r="F452" s="27">
        <v>30</v>
      </c>
      <c r="G452" s="27">
        <v>3</v>
      </c>
      <c r="H452" s="29">
        <v>6.27</v>
      </c>
      <c r="I452" s="29">
        <v>188.06</v>
      </c>
      <c r="J452" s="8">
        <f>IF(OR(A452="",I452=""),"",IF(SUMIFS($I$8:$I$657,$A$8:$A$657,A452)=0,"",I452*SUMIFS('Facturas y gastos'!$D$10:$D$13,'Facturas y gastos'!$A$10:$A$13,A452)/SUMIFS($I$8:$I$657,$A$8:$A$657,A452)))</f>
        <v>188.06004109063446</v>
      </c>
      <c r="K452" s="8">
        <f>IF(J452="","",IF(SUMIFS('Facturas y gastos'!$D$10:$D$13,'Facturas y gastos'!$A$10:$A$13,A452)=0,"",J452*SUMIFS('Facturas y gastos'!$G$10:$G$13,'Facturas y gastos'!$A$10:$A$13,A452)/SUMIFS('Facturas y gastos'!$D$10:$D$13,'Facturas y gastos'!$A$10:$A$13,A452)))</f>
        <v>1.8805950691238598</v>
      </c>
      <c r="L452" s="8">
        <f>IF(J452="","",IF(SUMIFS('Facturas y gastos'!$D$10:$D$13,'Facturas y gastos'!$A$10:$A$13,A452)=0,"",J452*SUMIFS('Facturas y gastos'!$H$10:$H$13,'Facturas y gastos'!$A$10:$A$13,A452)/SUMIFS('Facturas y gastos'!$D$10:$D$13,'Facturas y gastos'!$A$10:$A$13,A452)))</f>
        <v>5.6417852073715791</v>
      </c>
      <c r="M452" s="8">
        <f>IF(J452="","",IF(SUMIFS('Facturas y gastos'!$D$10:$D$13,'Facturas y gastos'!$A$10:$A$13,A452)=0,"",J452*SUMIFS('Facturas y gastos'!$I$10:$I$13,'Facturas y gastos'!$A$10:$A$13,A452)/SUMIFS('Facturas y gastos'!$D$10:$D$13,'Facturas y gastos'!$A$10:$A$13,A452)))</f>
        <v>32.461601254350278</v>
      </c>
      <c r="N452" s="8">
        <f>IF(J452="","",IF(SUMIFS('Facturas y gastos'!$D$10:$D$13,'Facturas y gastos'!$A$10:$A$13,A452)=0,"",J452*SUMIFS('Facturas y gastos'!$J$10:$J$13,'Facturas y gastos'!$A$10:$A$13,A452)/SUMIFS('Facturas y gastos'!$D$10:$D$13,'Facturas y gastos'!$A$10:$A$13,A452)))</f>
        <v>0</v>
      </c>
      <c r="O452" s="8">
        <f t="shared" si="12"/>
        <v>224.28283248323245</v>
      </c>
      <c r="P452" s="8" t="str">
        <f>IF(OR(O452="",'Facturas y gastos'!$B$24="",'Facturas y gastos'!$B$45&lt;&gt;"OK",SUM($O$8:$O$657)=0),"",O452*'Facturas y gastos'!$B$43/SUM($O$8:$O$657))</f>
        <v/>
      </c>
      <c r="Q452" s="8" t="str">
        <f>IF(OR(O452="",'Facturas y gastos'!$B$5="",P452=""),"",O452*'Facturas y gastos'!$B$5+P452)</f>
        <v/>
      </c>
      <c r="R452" s="8" t="str">
        <f t="shared" si="13"/>
        <v/>
      </c>
    </row>
    <row r="453" spans="1:18">
      <c r="A453" s="25" t="s">
        <v>62</v>
      </c>
      <c r="B453" s="25">
        <v>68</v>
      </c>
      <c r="C453" s="25" t="s">
        <v>620</v>
      </c>
      <c r="D453" s="25" t="s">
        <v>603</v>
      </c>
      <c r="E453" s="25" t="s">
        <v>108</v>
      </c>
      <c r="F453" s="27">
        <v>300</v>
      </c>
      <c r="G453" s="27">
        <v>3</v>
      </c>
      <c r="H453" s="29">
        <v>0.6</v>
      </c>
      <c r="I453" s="29">
        <v>179.1</v>
      </c>
      <c r="J453" s="8">
        <f>IF(OR(A453="",I453=""),"",IF(SUMIFS($I$8:$I$657,$A$8:$A$657,A453)=0,"",I453*SUMIFS('Facturas y gastos'!$D$10:$D$13,'Facturas y gastos'!$A$10:$A$13,A453)/SUMIFS($I$8:$I$657,$A$8:$A$657,A453)))</f>
        <v>179.10003913289714</v>
      </c>
      <c r="K453" s="8">
        <f>IF(J453="","",IF(SUMIFS('Facturas y gastos'!$D$10:$D$13,'Facturas y gastos'!$A$10:$A$13,A453)=0,"",J453*SUMIFS('Facturas y gastos'!$G$10:$G$13,'Facturas y gastos'!$A$10:$A$13,A453)/SUMIFS('Facturas y gastos'!$D$10:$D$13,'Facturas y gastos'!$A$10:$A$13,A453)))</f>
        <v>1.7909953040523414</v>
      </c>
      <c r="L453" s="8">
        <f>IF(J453="","",IF(SUMIFS('Facturas y gastos'!$D$10:$D$13,'Facturas y gastos'!$A$10:$A$13,A453)=0,"",J453*SUMIFS('Facturas y gastos'!$H$10:$H$13,'Facturas y gastos'!$A$10:$A$13,A453)/SUMIFS('Facturas y gastos'!$D$10:$D$13,'Facturas y gastos'!$A$10:$A$13,A453)))</f>
        <v>5.3729859121570245</v>
      </c>
      <c r="M453" s="8">
        <f>IF(J453="","",IF(SUMIFS('Facturas y gastos'!$D$10:$D$13,'Facturas y gastos'!$A$10:$A$13,A453)=0,"",J453*SUMIFS('Facturas y gastos'!$I$10:$I$13,'Facturas y gastos'!$A$10:$A$13,A453)/SUMIFS('Facturas y gastos'!$D$10:$D$13,'Facturas y gastos'!$A$10:$A$13,A453)))</f>
        <v>30.914988751750165</v>
      </c>
      <c r="N453" s="8">
        <f>IF(J453="","",IF(SUMIFS('Facturas y gastos'!$D$10:$D$13,'Facturas y gastos'!$A$10:$A$13,A453)=0,"",J453*SUMIFS('Facturas y gastos'!$J$10:$J$13,'Facturas y gastos'!$A$10:$A$13,A453)/SUMIFS('Facturas y gastos'!$D$10:$D$13,'Facturas y gastos'!$A$10:$A$13,A453)))</f>
        <v>0</v>
      </c>
      <c r="O453" s="8">
        <f t="shared" si="12"/>
        <v>213.597018492752</v>
      </c>
      <c r="P453" s="8" t="str">
        <f>IF(OR(O453="",'Facturas y gastos'!$B$24="",'Facturas y gastos'!$B$45&lt;&gt;"OK",SUM($O$8:$O$657)=0),"",O453*'Facturas y gastos'!$B$43/SUM($O$8:$O$657))</f>
        <v/>
      </c>
      <c r="Q453" s="8" t="str">
        <f>IF(OR(O453="",'Facturas y gastos'!$B$5="",P453=""),"",O453*'Facturas y gastos'!$B$5+P453)</f>
        <v/>
      </c>
      <c r="R453" s="8" t="str">
        <f t="shared" si="13"/>
        <v/>
      </c>
    </row>
    <row r="454" spans="1:18">
      <c r="A454" s="25" t="s">
        <v>62</v>
      </c>
      <c r="B454" s="25">
        <v>69</v>
      </c>
      <c r="C454" s="25" t="s">
        <v>621</v>
      </c>
      <c r="D454" s="25" t="s">
        <v>603</v>
      </c>
      <c r="E454" s="25" t="s">
        <v>108</v>
      </c>
      <c r="F454" s="27">
        <v>30</v>
      </c>
      <c r="G454" s="27">
        <v>3</v>
      </c>
      <c r="H454" s="29">
        <v>3.58</v>
      </c>
      <c r="I454" s="29">
        <v>107.46</v>
      </c>
      <c r="J454" s="8">
        <f>IF(OR(A454="",I454=""),"",IF(SUMIFS($I$8:$I$657,$A$8:$A$657,A454)=0,"",I454*SUMIFS('Facturas y gastos'!$D$10:$D$13,'Facturas y gastos'!$A$10:$A$13,A454)/SUMIFS($I$8:$I$657,$A$8:$A$657,A454)))</f>
        <v>107.46002347973827</v>
      </c>
      <c r="K454" s="8">
        <f>IF(J454="","",IF(SUMIFS('Facturas y gastos'!$D$10:$D$13,'Facturas y gastos'!$A$10:$A$13,A454)=0,"",J454*SUMIFS('Facturas y gastos'!$G$10:$G$13,'Facturas y gastos'!$A$10:$A$13,A454)/SUMIFS('Facturas y gastos'!$D$10:$D$13,'Facturas y gastos'!$A$10:$A$13,A454)))</f>
        <v>1.0745971824314047</v>
      </c>
      <c r="L454" s="8">
        <f>IF(J454="","",IF(SUMIFS('Facturas y gastos'!$D$10:$D$13,'Facturas y gastos'!$A$10:$A$13,A454)=0,"",J454*SUMIFS('Facturas y gastos'!$H$10:$H$13,'Facturas y gastos'!$A$10:$A$13,A454)/SUMIFS('Facturas y gastos'!$D$10:$D$13,'Facturas y gastos'!$A$10:$A$13,A454)))</f>
        <v>3.2237915472942142</v>
      </c>
      <c r="M454" s="8">
        <f>IF(J454="","",IF(SUMIFS('Facturas y gastos'!$D$10:$D$13,'Facturas y gastos'!$A$10:$A$13,A454)=0,"",J454*SUMIFS('Facturas y gastos'!$I$10:$I$13,'Facturas y gastos'!$A$10:$A$13,A454)/SUMIFS('Facturas y gastos'!$D$10:$D$13,'Facturas y gastos'!$A$10:$A$13,A454)))</f>
        <v>18.548993251050096</v>
      </c>
      <c r="N454" s="8">
        <f>IF(J454="","",IF(SUMIFS('Facturas y gastos'!$D$10:$D$13,'Facturas y gastos'!$A$10:$A$13,A454)=0,"",J454*SUMIFS('Facturas y gastos'!$J$10:$J$13,'Facturas y gastos'!$A$10:$A$13,A454)/SUMIFS('Facturas y gastos'!$D$10:$D$13,'Facturas y gastos'!$A$10:$A$13,A454)))</f>
        <v>0</v>
      </c>
      <c r="O454" s="8">
        <f t="shared" si="12"/>
        <v>128.15821109565118</v>
      </c>
      <c r="P454" s="8" t="str">
        <f>IF(OR(O454="",'Facturas y gastos'!$B$24="",'Facturas y gastos'!$B$45&lt;&gt;"OK",SUM($O$8:$O$657)=0),"",O454*'Facturas y gastos'!$B$43/SUM($O$8:$O$657))</f>
        <v/>
      </c>
      <c r="Q454" s="8" t="str">
        <f>IF(OR(O454="",'Facturas y gastos'!$B$5="",P454=""),"",O454*'Facturas y gastos'!$B$5+P454)</f>
        <v/>
      </c>
      <c r="R454" s="8" t="str">
        <f t="shared" si="13"/>
        <v/>
      </c>
    </row>
    <row r="455" spans="1:18">
      <c r="A455" s="25" t="s">
        <v>62</v>
      </c>
      <c r="B455" s="25">
        <v>70</v>
      </c>
      <c r="C455" s="25" t="s">
        <v>622</v>
      </c>
      <c r="D455" s="25" t="s">
        <v>603</v>
      </c>
      <c r="E455" s="25" t="s">
        <v>108</v>
      </c>
      <c r="F455" s="27">
        <v>24</v>
      </c>
      <c r="G455" s="27">
        <v>3</v>
      </c>
      <c r="H455" s="29">
        <v>5.3</v>
      </c>
      <c r="I455" s="29">
        <v>127.16</v>
      </c>
      <c r="J455" s="8">
        <f>IF(OR(A455="",I455=""),"",IF(SUMIFS($I$8:$I$657,$A$8:$A$657,A455)=0,"",I455*SUMIFS('Facturas y gastos'!$D$10:$D$13,'Facturas y gastos'!$A$10:$A$13,A455)/SUMIFS($I$8:$I$657,$A$8:$A$657,A455)))</f>
        <v>127.16002778413846</v>
      </c>
      <c r="K455" s="8">
        <f>IF(J455="","",IF(SUMIFS('Facturas y gastos'!$D$10:$D$13,'Facturas y gastos'!$A$10:$A$13,A455)=0,"",J455*SUMIFS('Facturas y gastos'!$G$10:$G$13,'Facturas y gastos'!$A$10:$A$13,A455)/SUMIFS('Facturas y gastos'!$D$10:$D$13,'Facturas y gastos'!$A$10:$A$13,A455)))</f>
        <v>1.2715966659033819</v>
      </c>
      <c r="L455" s="8">
        <f>IF(J455="","",IF(SUMIFS('Facturas y gastos'!$D$10:$D$13,'Facturas y gastos'!$A$10:$A$13,A455)=0,"",J455*SUMIFS('Facturas y gastos'!$H$10:$H$13,'Facturas y gastos'!$A$10:$A$13,A455)/SUMIFS('Facturas y gastos'!$D$10:$D$13,'Facturas y gastos'!$A$10:$A$13,A455)))</f>
        <v>3.8147899977101463</v>
      </c>
      <c r="M455" s="8">
        <f>IF(J455="","",IF(SUMIFS('Facturas y gastos'!$D$10:$D$13,'Facturas y gastos'!$A$10:$A$13,A455)=0,"",J455*SUMIFS('Facturas y gastos'!$I$10:$I$13,'Facturas y gastos'!$A$10:$A$13,A455)/SUMIFS('Facturas y gastos'!$D$10:$D$13,'Facturas y gastos'!$A$10:$A$13,A455)))</f>
        <v>21.949469400740092</v>
      </c>
      <c r="N455" s="8">
        <f>IF(J455="","",IF(SUMIFS('Facturas y gastos'!$D$10:$D$13,'Facturas y gastos'!$A$10:$A$13,A455)=0,"",J455*SUMIFS('Facturas y gastos'!$J$10:$J$13,'Facturas y gastos'!$A$10:$A$13,A455)/SUMIFS('Facturas y gastos'!$D$10:$D$13,'Facturas y gastos'!$A$10:$A$13,A455)))</f>
        <v>0</v>
      </c>
      <c r="O455" s="8">
        <f t="shared" si="12"/>
        <v>151.65269051668531</v>
      </c>
      <c r="P455" s="8" t="str">
        <f>IF(OR(O455="",'Facturas y gastos'!$B$24="",'Facturas y gastos'!$B$45&lt;&gt;"OK",SUM($O$8:$O$657)=0),"",O455*'Facturas y gastos'!$B$43/SUM($O$8:$O$657))</f>
        <v/>
      </c>
      <c r="Q455" s="8" t="str">
        <f>IF(OR(O455="",'Facturas y gastos'!$B$5="",P455=""),"",O455*'Facturas y gastos'!$B$5+P455)</f>
        <v/>
      </c>
      <c r="R455" s="8" t="str">
        <f t="shared" si="13"/>
        <v/>
      </c>
    </row>
    <row r="456" spans="1:18">
      <c r="A456" s="25" t="s">
        <v>62</v>
      </c>
      <c r="B456" s="25">
        <v>71</v>
      </c>
      <c r="C456" s="25" t="s">
        <v>623</v>
      </c>
      <c r="D456" s="25" t="s">
        <v>603</v>
      </c>
      <c r="E456" s="25" t="s">
        <v>108</v>
      </c>
      <c r="F456" s="27">
        <v>18</v>
      </c>
      <c r="G456" s="27">
        <v>3</v>
      </c>
      <c r="H456" s="29">
        <v>8.2100000000000009</v>
      </c>
      <c r="I456" s="29">
        <v>147.76</v>
      </c>
      <c r="J456" s="8">
        <f>IF(OR(A456="",I456=""),"",IF(SUMIFS($I$8:$I$657,$A$8:$A$657,A456)=0,"",I456*SUMIFS('Facturas y gastos'!$D$10:$D$13,'Facturas y gastos'!$A$10:$A$13,A456)/SUMIFS($I$8:$I$657,$A$8:$A$657,A456)))</f>
        <v>147.76003228518636</v>
      </c>
      <c r="K456" s="8">
        <f>IF(J456="","",IF(SUMIFS('Facturas y gastos'!$D$10:$D$13,'Facturas y gastos'!$A$10:$A$13,A456)=0,"",J456*SUMIFS('Facturas y gastos'!$G$10:$G$13,'Facturas y gastos'!$A$10:$A$13,A456)/SUMIFS('Facturas y gastos'!$D$10:$D$13,'Facturas y gastos'!$A$10:$A$13,A456)))</f>
        <v>1.4775961257776322</v>
      </c>
      <c r="L456" s="8">
        <f>IF(J456="","",IF(SUMIFS('Facturas y gastos'!$D$10:$D$13,'Facturas y gastos'!$A$10:$A$13,A456)=0,"",J456*SUMIFS('Facturas y gastos'!$H$10:$H$13,'Facturas y gastos'!$A$10:$A$13,A456)/SUMIFS('Facturas y gastos'!$D$10:$D$13,'Facturas y gastos'!$A$10:$A$13,A456)))</f>
        <v>4.4327883773328969</v>
      </c>
      <c r="M456" s="8">
        <f>IF(J456="","",IF(SUMIFS('Facturas y gastos'!$D$10:$D$13,'Facturas y gastos'!$A$10:$A$13,A456)=0,"",J456*SUMIFS('Facturas y gastos'!$I$10:$I$13,'Facturas y gastos'!$A$10:$A$13,A456)/SUMIFS('Facturas y gastos'!$D$10:$D$13,'Facturas y gastos'!$A$10:$A$13,A456)))</f>
        <v>25.505297252700185</v>
      </c>
      <c r="N456" s="8">
        <f>IF(J456="","",IF(SUMIFS('Facturas y gastos'!$D$10:$D$13,'Facturas y gastos'!$A$10:$A$13,A456)=0,"",J456*SUMIFS('Facturas y gastos'!$J$10:$J$13,'Facturas y gastos'!$A$10:$A$13,A456)/SUMIFS('Facturas y gastos'!$D$10:$D$13,'Facturas y gastos'!$A$10:$A$13,A456)))</f>
        <v>0</v>
      </c>
      <c r="O456" s="8">
        <f t="shared" ref="O456:O519" si="14">IF(J456="","",J456-K456+L456+M456+N456)</f>
        <v>176.22052178944179</v>
      </c>
      <c r="P456" s="8" t="str">
        <f>IF(OR(O456="",'Facturas y gastos'!$B$24="",'Facturas y gastos'!$B$45&lt;&gt;"OK",SUM($O$8:$O$657)=0),"",O456*'Facturas y gastos'!$B$43/SUM($O$8:$O$657))</f>
        <v/>
      </c>
      <c r="Q456" s="8" t="str">
        <f>IF(OR(O456="",'Facturas y gastos'!$B$5="",P456=""),"",O456*'Facturas y gastos'!$B$5+P456)</f>
        <v/>
      </c>
      <c r="R456" s="8" t="str">
        <f t="shared" ref="R456:R519" si="15">IF(OR(Q456="",F456="",F456=0),"",Q456/F456)</f>
        <v/>
      </c>
    </row>
    <row r="457" spans="1:18">
      <c r="A457" s="25" t="s">
        <v>62</v>
      </c>
      <c r="B457" s="25">
        <v>72</v>
      </c>
      <c r="C457" s="25" t="s">
        <v>624</v>
      </c>
      <c r="D457" s="25" t="s">
        <v>603</v>
      </c>
      <c r="E457" s="25" t="s">
        <v>108</v>
      </c>
      <c r="F457" s="27">
        <v>108</v>
      </c>
      <c r="G457" s="27">
        <v>3</v>
      </c>
      <c r="H457" s="29">
        <v>1.64</v>
      </c>
      <c r="I457" s="29">
        <v>177.31</v>
      </c>
      <c r="J457" s="8">
        <f>IF(OR(A457="",I457=""),"",IF(SUMIFS($I$8:$I$657,$A$8:$A$657,A457)=0,"",I457*SUMIFS('Facturas y gastos'!$D$10:$D$13,'Facturas y gastos'!$A$10:$A$13,A457)/SUMIFS($I$8:$I$657,$A$8:$A$657,A457)))</f>
        <v>177.31003874178666</v>
      </c>
      <c r="K457" s="8">
        <f>IF(J457="","",IF(SUMIFS('Facturas y gastos'!$D$10:$D$13,'Facturas y gastos'!$A$10:$A$13,A457)=0,"",J457*SUMIFS('Facturas y gastos'!$G$10:$G$13,'Facturas y gastos'!$A$10:$A$13,A457)/SUMIFS('Facturas y gastos'!$D$10:$D$13,'Facturas y gastos'!$A$10:$A$13,A457)))</f>
        <v>1.7730953509855982</v>
      </c>
      <c r="L457" s="8">
        <f>IF(J457="","",IF(SUMIFS('Facturas y gastos'!$D$10:$D$13,'Facturas y gastos'!$A$10:$A$13,A457)=0,"",J457*SUMIFS('Facturas y gastos'!$H$10:$H$13,'Facturas y gastos'!$A$10:$A$13,A457)/SUMIFS('Facturas y gastos'!$D$10:$D$13,'Facturas y gastos'!$A$10:$A$13,A457)))</f>
        <v>5.3192860529567945</v>
      </c>
      <c r="M457" s="8">
        <f>IF(J457="","",IF(SUMIFS('Facturas y gastos'!$D$10:$D$13,'Facturas y gastos'!$A$10:$A$13,A457)=0,"",J457*SUMIFS('Facturas y gastos'!$I$10:$I$13,'Facturas y gastos'!$A$10:$A$13,A457)/SUMIFS('Facturas y gastos'!$D$10:$D$13,'Facturas y gastos'!$A$10:$A$13,A457)))</f>
        <v>30.606011477235185</v>
      </c>
      <c r="N457" s="8">
        <f>IF(J457="","",IF(SUMIFS('Facturas y gastos'!$D$10:$D$13,'Facturas y gastos'!$A$10:$A$13,A457)=0,"",J457*SUMIFS('Facturas y gastos'!$J$10:$J$13,'Facturas y gastos'!$A$10:$A$13,A457)/SUMIFS('Facturas y gastos'!$D$10:$D$13,'Facturas y gastos'!$A$10:$A$13,A457)))</f>
        <v>0</v>
      </c>
      <c r="O457" s="8">
        <f t="shared" si="14"/>
        <v>211.46224092099305</v>
      </c>
      <c r="P457" s="8" t="str">
        <f>IF(OR(O457="",'Facturas y gastos'!$B$24="",'Facturas y gastos'!$B$45&lt;&gt;"OK",SUM($O$8:$O$657)=0),"",O457*'Facturas y gastos'!$B$43/SUM($O$8:$O$657))</f>
        <v/>
      </c>
      <c r="Q457" s="8" t="str">
        <f>IF(OR(O457="",'Facturas y gastos'!$B$5="",P457=""),"",O457*'Facturas y gastos'!$B$5+P457)</f>
        <v/>
      </c>
      <c r="R457" s="8" t="str">
        <f t="shared" si="15"/>
        <v/>
      </c>
    </row>
    <row r="458" spans="1:18">
      <c r="A458" s="25" t="s">
        <v>62</v>
      </c>
      <c r="B458" s="25">
        <v>73</v>
      </c>
      <c r="C458" s="25" t="s">
        <v>625</v>
      </c>
      <c r="D458" s="25" t="s">
        <v>603</v>
      </c>
      <c r="E458" s="25" t="s">
        <v>108</v>
      </c>
      <c r="F458" s="27">
        <v>36</v>
      </c>
      <c r="G458" s="27">
        <v>3</v>
      </c>
      <c r="H458" s="29">
        <v>4.03</v>
      </c>
      <c r="I458" s="29">
        <v>145.07</v>
      </c>
      <c r="J458" s="8">
        <f>IF(OR(A458="",I458=""),"",IF(SUMIFS($I$8:$I$657,$A$8:$A$657,A458)=0,"",I458*SUMIFS('Facturas y gastos'!$D$10:$D$13,'Facturas y gastos'!$A$10:$A$13,A458)/SUMIFS($I$8:$I$657,$A$8:$A$657,A458)))</f>
        <v>145.07003169742819</v>
      </c>
      <c r="K458" s="8">
        <f>IF(J458="","",IF(SUMIFS('Facturas y gastos'!$D$10:$D$13,'Facturas y gastos'!$A$10:$A$13,A458)=0,"",J458*SUMIFS('Facturas y gastos'!$G$10:$G$13,'Facturas y gastos'!$A$10:$A$13,A458)/SUMIFS('Facturas y gastos'!$D$10:$D$13,'Facturas y gastos'!$A$10:$A$13,A458)))</f>
        <v>1.4506961963086165</v>
      </c>
      <c r="L458" s="8">
        <f>IF(J458="","",IF(SUMIFS('Facturas y gastos'!$D$10:$D$13,'Facturas y gastos'!$A$10:$A$13,A458)=0,"",J458*SUMIFS('Facturas y gastos'!$H$10:$H$13,'Facturas y gastos'!$A$10:$A$13,A458)/SUMIFS('Facturas y gastos'!$D$10:$D$13,'Facturas y gastos'!$A$10:$A$13,A458)))</f>
        <v>4.3520885889258487</v>
      </c>
      <c r="M458" s="8">
        <f>IF(J458="","",IF(SUMIFS('Facturas y gastos'!$D$10:$D$13,'Facturas y gastos'!$A$10:$A$13,A458)=0,"",J458*SUMIFS('Facturas y gastos'!$I$10:$I$13,'Facturas y gastos'!$A$10:$A$13,A458)/SUMIFS('Facturas y gastos'!$D$10:$D$13,'Facturas y gastos'!$A$10:$A$13,A458)))</f>
        <v>25.040968275915112</v>
      </c>
      <c r="N458" s="8">
        <f>IF(J458="","",IF(SUMIFS('Facturas y gastos'!$D$10:$D$13,'Facturas y gastos'!$A$10:$A$13,A458)=0,"",J458*SUMIFS('Facturas y gastos'!$J$10:$J$13,'Facturas y gastos'!$A$10:$A$13,A458)/SUMIFS('Facturas y gastos'!$D$10:$D$13,'Facturas y gastos'!$A$10:$A$13,A458)))</f>
        <v>0</v>
      </c>
      <c r="O458" s="8">
        <f t="shared" si="14"/>
        <v>173.01239236596052</v>
      </c>
      <c r="P458" s="8" t="str">
        <f>IF(OR(O458="",'Facturas y gastos'!$B$24="",'Facturas y gastos'!$B$45&lt;&gt;"OK",SUM($O$8:$O$657)=0),"",O458*'Facturas y gastos'!$B$43/SUM($O$8:$O$657))</f>
        <v/>
      </c>
      <c r="Q458" s="8" t="str">
        <f>IF(OR(O458="",'Facturas y gastos'!$B$5="",P458=""),"",O458*'Facturas y gastos'!$B$5+P458)</f>
        <v/>
      </c>
      <c r="R458" s="8" t="str">
        <f t="shared" si="15"/>
        <v/>
      </c>
    </row>
    <row r="459" spans="1:18">
      <c r="A459" s="25" t="s">
        <v>62</v>
      </c>
      <c r="B459" s="25">
        <v>74</v>
      </c>
      <c r="C459" s="25" t="s">
        <v>626</v>
      </c>
      <c r="D459" s="25" t="s">
        <v>627</v>
      </c>
      <c r="E459" s="25" t="s">
        <v>108</v>
      </c>
      <c r="F459" s="27">
        <v>240</v>
      </c>
      <c r="G459" s="27">
        <v>1</v>
      </c>
      <c r="H459" s="29">
        <v>0.28000000000000003</v>
      </c>
      <c r="I459" s="29">
        <v>68.06</v>
      </c>
      <c r="J459" s="8">
        <f>IF(OR(A459="",I459=""),"",IF(SUMIFS($I$8:$I$657,$A$8:$A$657,A459)=0,"",I459*SUMIFS('Facturas y gastos'!$D$10:$D$13,'Facturas y gastos'!$A$10:$A$13,A459)/SUMIFS($I$8:$I$657,$A$8:$A$657,A459)))</f>
        <v>68.060014870937906</v>
      </c>
      <c r="K459" s="8">
        <f>IF(J459="","",IF(SUMIFS('Facturas y gastos'!$D$10:$D$13,'Facturas y gastos'!$A$10:$A$13,A459)=0,"",J459*SUMIFS('Facturas y gastos'!$G$10:$G$13,'Facturas y gastos'!$A$10:$A$13,A459)/SUMIFS('Facturas y gastos'!$D$10:$D$13,'Facturas y gastos'!$A$10:$A$13,A459)))</f>
        <v>0.68059821548745036</v>
      </c>
      <c r="L459" s="8">
        <f>IF(J459="","",IF(SUMIFS('Facturas y gastos'!$D$10:$D$13,'Facturas y gastos'!$A$10:$A$13,A459)=0,"",J459*SUMIFS('Facturas y gastos'!$H$10:$H$13,'Facturas y gastos'!$A$10:$A$13,A459)/SUMIFS('Facturas y gastos'!$D$10:$D$13,'Facturas y gastos'!$A$10:$A$13,A459)))</f>
        <v>2.0417946464623506</v>
      </c>
      <c r="M459" s="8">
        <f>IF(J459="","",IF(SUMIFS('Facturas y gastos'!$D$10:$D$13,'Facturas y gastos'!$A$10:$A$13,A459)=0,"",J459*SUMIFS('Facturas y gastos'!$I$10:$I$13,'Facturas y gastos'!$A$10:$A$13,A459)/SUMIFS('Facturas y gastos'!$D$10:$D$13,'Facturas y gastos'!$A$10:$A$13,A459)))</f>
        <v>11.748040951670106</v>
      </c>
      <c r="N459" s="8">
        <f>IF(J459="","",IF(SUMIFS('Facturas y gastos'!$D$10:$D$13,'Facturas y gastos'!$A$10:$A$13,A459)=0,"",J459*SUMIFS('Facturas y gastos'!$J$10:$J$13,'Facturas y gastos'!$A$10:$A$13,A459)/SUMIFS('Facturas y gastos'!$D$10:$D$13,'Facturas y gastos'!$A$10:$A$13,A459)))</f>
        <v>0</v>
      </c>
      <c r="O459" s="8">
        <f t="shared" si="14"/>
        <v>81.169252253582911</v>
      </c>
      <c r="P459" s="8" t="str">
        <f>IF(OR(O459="",'Facturas y gastos'!$B$24="",'Facturas y gastos'!$B$45&lt;&gt;"OK",SUM($O$8:$O$657)=0),"",O459*'Facturas y gastos'!$B$43/SUM($O$8:$O$657))</f>
        <v/>
      </c>
      <c r="Q459" s="8" t="str">
        <f>IF(OR(O459="",'Facturas y gastos'!$B$5="",P459=""),"",O459*'Facturas y gastos'!$B$5+P459)</f>
        <v/>
      </c>
      <c r="R459" s="8" t="str">
        <f t="shared" si="15"/>
        <v/>
      </c>
    </row>
    <row r="460" spans="1:18">
      <c r="A460" s="25" t="s">
        <v>62</v>
      </c>
      <c r="B460" s="25">
        <v>75</v>
      </c>
      <c r="C460" s="25" t="s">
        <v>628</v>
      </c>
      <c r="D460" s="25" t="s">
        <v>627</v>
      </c>
      <c r="E460" s="25" t="s">
        <v>108</v>
      </c>
      <c r="F460" s="27">
        <v>240</v>
      </c>
      <c r="G460" s="27">
        <v>1</v>
      </c>
      <c r="H460" s="29">
        <v>0.6</v>
      </c>
      <c r="I460" s="29">
        <v>143.28</v>
      </c>
      <c r="J460" s="8">
        <f>IF(OR(A460="",I460=""),"",IF(SUMIFS($I$8:$I$657,$A$8:$A$657,A460)=0,"",I460*SUMIFS('Facturas y gastos'!$D$10:$D$13,'Facturas y gastos'!$A$10:$A$13,A460)/SUMIFS($I$8:$I$657,$A$8:$A$657,A460)))</f>
        <v>143.28003130631771</v>
      </c>
      <c r="K460" s="8">
        <f>IF(J460="","",IF(SUMIFS('Facturas y gastos'!$D$10:$D$13,'Facturas y gastos'!$A$10:$A$13,A460)=0,"",J460*SUMIFS('Facturas y gastos'!$G$10:$G$13,'Facturas y gastos'!$A$10:$A$13,A460)/SUMIFS('Facturas y gastos'!$D$10:$D$13,'Facturas y gastos'!$A$10:$A$13,A460)))</f>
        <v>1.432796243241873</v>
      </c>
      <c r="L460" s="8">
        <f>IF(J460="","",IF(SUMIFS('Facturas y gastos'!$D$10:$D$13,'Facturas y gastos'!$A$10:$A$13,A460)=0,"",J460*SUMIFS('Facturas y gastos'!$H$10:$H$13,'Facturas y gastos'!$A$10:$A$13,A460)/SUMIFS('Facturas y gastos'!$D$10:$D$13,'Facturas y gastos'!$A$10:$A$13,A460)))</f>
        <v>4.2983887297256187</v>
      </c>
      <c r="M460" s="8">
        <f>IF(J460="","",IF(SUMIFS('Facturas y gastos'!$D$10:$D$13,'Facturas y gastos'!$A$10:$A$13,A460)=0,"",J460*SUMIFS('Facturas y gastos'!$I$10:$I$13,'Facturas y gastos'!$A$10:$A$13,A460)/SUMIFS('Facturas y gastos'!$D$10:$D$13,'Facturas y gastos'!$A$10:$A$13,A460)))</f>
        <v>24.731991001400132</v>
      </c>
      <c r="N460" s="8">
        <f>IF(J460="","",IF(SUMIFS('Facturas y gastos'!$D$10:$D$13,'Facturas y gastos'!$A$10:$A$13,A460)=0,"",J460*SUMIFS('Facturas y gastos'!$J$10:$J$13,'Facturas y gastos'!$A$10:$A$13,A460)/SUMIFS('Facturas y gastos'!$D$10:$D$13,'Facturas y gastos'!$A$10:$A$13,A460)))</f>
        <v>0</v>
      </c>
      <c r="O460" s="8">
        <f t="shared" si="14"/>
        <v>170.87761479420158</v>
      </c>
      <c r="P460" s="8" t="str">
        <f>IF(OR(O460="",'Facturas y gastos'!$B$24="",'Facturas y gastos'!$B$45&lt;&gt;"OK",SUM($O$8:$O$657)=0),"",O460*'Facturas y gastos'!$B$43/SUM($O$8:$O$657))</f>
        <v/>
      </c>
      <c r="Q460" s="8" t="str">
        <f>IF(OR(O460="",'Facturas y gastos'!$B$5="",P460=""),"",O460*'Facturas y gastos'!$B$5+P460)</f>
        <v/>
      </c>
      <c r="R460" s="8" t="str">
        <f t="shared" si="15"/>
        <v/>
      </c>
    </row>
    <row r="461" spans="1:18">
      <c r="A461" s="25" t="s">
        <v>62</v>
      </c>
      <c r="B461" s="25">
        <v>76</v>
      </c>
      <c r="C461" s="25" t="s">
        <v>629</v>
      </c>
      <c r="D461" s="25" t="s">
        <v>627</v>
      </c>
      <c r="E461" s="25" t="s">
        <v>108</v>
      </c>
      <c r="F461" s="27">
        <v>240</v>
      </c>
      <c r="G461" s="27">
        <v>1</v>
      </c>
      <c r="H461" s="29">
        <v>0.31</v>
      </c>
      <c r="I461" s="29">
        <v>75.22</v>
      </c>
      <c r="J461" s="8">
        <f>IF(OR(A461="",I461=""),"",IF(SUMIFS($I$8:$I$657,$A$8:$A$657,A461)=0,"",I461*SUMIFS('Facturas y gastos'!$D$10:$D$13,'Facturas y gastos'!$A$10:$A$13,A461)/SUMIFS($I$8:$I$657,$A$8:$A$657,A461)))</f>
        <v>75.22001643537979</v>
      </c>
      <c r="K461" s="8">
        <f>IF(J461="","",IF(SUMIFS('Facturas y gastos'!$D$10:$D$13,'Facturas y gastos'!$A$10:$A$13,A461)=0,"",J461*SUMIFS('Facturas y gastos'!$G$10:$G$13,'Facturas y gastos'!$A$10:$A$13,A461)/SUMIFS('Facturas y gastos'!$D$10:$D$13,'Facturas y gastos'!$A$10:$A$13,A461)))</f>
        <v>0.75219802775442268</v>
      </c>
      <c r="L461" s="8">
        <f>IF(J461="","",IF(SUMIFS('Facturas y gastos'!$D$10:$D$13,'Facturas y gastos'!$A$10:$A$13,A461)=0,"",J461*SUMIFS('Facturas y gastos'!$H$10:$H$13,'Facturas y gastos'!$A$10:$A$13,A461)/SUMIFS('Facturas y gastos'!$D$10:$D$13,'Facturas y gastos'!$A$10:$A$13,A461)))</f>
        <v>2.256594083263268</v>
      </c>
      <c r="M461" s="8">
        <f>IF(J461="","",IF(SUMIFS('Facturas y gastos'!$D$10:$D$13,'Facturas y gastos'!$A$10:$A$13,A461)=0,"",J461*SUMIFS('Facturas y gastos'!$I$10:$I$13,'Facturas y gastos'!$A$10:$A$13,A461)/SUMIFS('Facturas y gastos'!$D$10:$D$13,'Facturas y gastos'!$A$10:$A$13,A461)))</f>
        <v>12.983950049730021</v>
      </c>
      <c r="N461" s="8">
        <f>IF(J461="","",IF(SUMIFS('Facturas y gastos'!$D$10:$D$13,'Facturas y gastos'!$A$10:$A$13,A461)=0,"",J461*SUMIFS('Facturas y gastos'!$J$10:$J$13,'Facturas y gastos'!$A$10:$A$13,A461)/SUMIFS('Facturas y gastos'!$D$10:$D$13,'Facturas y gastos'!$A$10:$A$13,A461)))</f>
        <v>0</v>
      </c>
      <c r="O461" s="8">
        <f t="shared" si="14"/>
        <v>89.708362540618666</v>
      </c>
      <c r="P461" s="8" t="str">
        <f>IF(OR(O461="",'Facturas y gastos'!$B$24="",'Facturas y gastos'!$B$45&lt;&gt;"OK",SUM($O$8:$O$657)=0),"",O461*'Facturas y gastos'!$B$43/SUM($O$8:$O$657))</f>
        <v/>
      </c>
      <c r="Q461" s="8" t="str">
        <f>IF(OR(O461="",'Facturas y gastos'!$B$5="",P461=""),"",O461*'Facturas y gastos'!$B$5+P461)</f>
        <v/>
      </c>
      <c r="R461" s="8" t="str">
        <f t="shared" si="15"/>
        <v/>
      </c>
    </row>
    <row r="462" spans="1:18">
      <c r="A462" s="25" t="s">
        <v>62</v>
      </c>
      <c r="B462" s="25">
        <v>77</v>
      </c>
      <c r="C462" s="25" t="s">
        <v>630</v>
      </c>
      <c r="D462" s="25" t="s">
        <v>627</v>
      </c>
      <c r="E462" s="25" t="s">
        <v>108</v>
      </c>
      <c r="F462" s="27">
        <v>240</v>
      </c>
      <c r="G462" s="27">
        <v>1</v>
      </c>
      <c r="H462" s="29">
        <v>0.6</v>
      </c>
      <c r="I462" s="29">
        <v>143.28</v>
      </c>
      <c r="J462" s="8">
        <f>IF(OR(A462="",I462=""),"",IF(SUMIFS($I$8:$I$657,$A$8:$A$657,A462)=0,"",I462*SUMIFS('Facturas y gastos'!$D$10:$D$13,'Facturas y gastos'!$A$10:$A$13,A462)/SUMIFS($I$8:$I$657,$A$8:$A$657,A462)))</f>
        <v>143.28003130631771</v>
      </c>
      <c r="K462" s="8">
        <f>IF(J462="","",IF(SUMIFS('Facturas y gastos'!$D$10:$D$13,'Facturas y gastos'!$A$10:$A$13,A462)=0,"",J462*SUMIFS('Facturas y gastos'!$G$10:$G$13,'Facturas y gastos'!$A$10:$A$13,A462)/SUMIFS('Facturas y gastos'!$D$10:$D$13,'Facturas y gastos'!$A$10:$A$13,A462)))</f>
        <v>1.432796243241873</v>
      </c>
      <c r="L462" s="8">
        <f>IF(J462="","",IF(SUMIFS('Facturas y gastos'!$D$10:$D$13,'Facturas y gastos'!$A$10:$A$13,A462)=0,"",J462*SUMIFS('Facturas y gastos'!$H$10:$H$13,'Facturas y gastos'!$A$10:$A$13,A462)/SUMIFS('Facturas y gastos'!$D$10:$D$13,'Facturas y gastos'!$A$10:$A$13,A462)))</f>
        <v>4.2983887297256187</v>
      </c>
      <c r="M462" s="8">
        <f>IF(J462="","",IF(SUMIFS('Facturas y gastos'!$D$10:$D$13,'Facturas y gastos'!$A$10:$A$13,A462)=0,"",J462*SUMIFS('Facturas y gastos'!$I$10:$I$13,'Facturas y gastos'!$A$10:$A$13,A462)/SUMIFS('Facturas y gastos'!$D$10:$D$13,'Facturas y gastos'!$A$10:$A$13,A462)))</f>
        <v>24.731991001400132</v>
      </c>
      <c r="N462" s="8">
        <f>IF(J462="","",IF(SUMIFS('Facturas y gastos'!$D$10:$D$13,'Facturas y gastos'!$A$10:$A$13,A462)=0,"",J462*SUMIFS('Facturas y gastos'!$J$10:$J$13,'Facturas y gastos'!$A$10:$A$13,A462)/SUMIFS('Facturas y gastos'!$D$10:$D$13,'Facturas y gastos'!$A$10:$A$13,A462)))</f>
        <v>0</v>
      </c>
      <c r="O462" s="8">
        <f t="shared" si="14"/>
        <v>170.87761479420158</v>
      </c>
      <c r="P462" s="8" t="str">
        <f>IF(OR(O462="",'Facturas y gastos'!$B$24="",'Facturas y gastos'!$B$45&lt;&gt;"OK",SUM($O$8:$O$657)=0),"",O462*'Facturas y gastos'!$B$43/SUM($O$8:$O$657))</f>
        <v/>
      </c>
      <c r="Q462" s="8" t="str">
        <f>IF(OR(O462="",'Facturas y gastos'!$B$5="",P462=""),"",O462*'Facturas y gastos'!$B$5+P462)</f>
        <v/>
      </c>
      <c r="R462" s="8" t="str">
        <f t="shared" si="15"/>
        <v/>
      </c>
    </row>
    <row r="463" spans="1:18">
      <c r="A463" s="25" t="s">
        <v>62</v>
      </c>
      <c r="B463" s="25">
        <v>78</v>
      </c>
      <c r="C463" s="25" t="s">
        <v>631</v>
      </c>
      <c r="D463" s="25" t="s">
        <v>627</v>
      </c>
      <c r="E463" s="25" t="s">
        <v>108</v>
      </c>
      <c r="F463" s="27">
        <v>240</v>
      </c>
      <c r="G463" s="27">
        <v>1</v>
      </c>
      <c r="H463" s="29">
        <v>0.31</v>
      </c>
      <c r="I463" s="29">
        <v>75.22</v>
      </c>
      <c r="J463" s="8">
        <f>IF(OR(A463="",I463=""),"",IF(SUMIFS($I$8:$I$657,$A$8:$A$657,A463)=0,"",I463*SUMIFS('Facturas y gastos'!$D$10:$D$13,'Facturas y gastos'!$A$10:$A$13,A463)/SUMIFS($I$8:$I$657,$A$8:$A$657,A463)))</f>
        <v>75.22001643537979</v>
      </c>
      <c r="K463" s="8">
        <f>IF(J463="","",IF(SUMIFS('Facturas y gastos'!$D$10:$D$13,'Facturas y gastos'!$A$10:$A$13,A463)=0,"",J463*SUMIFS('Facturas y gastos'!$G$10:$G$13,'Facturas y gastos'!$A$10:$A$13,A463)/SUMIFS('Facturas y gastos'!$D$10:$D$13,'Facturas y gastos'!$A$10:$A$13,A463)))</f>
        <v>0.75219802775442268</v>
      </c>
      <c r="L463" s="8">
        <f>IF(J463="","",IF(SUMIFS('Facturas y gastos'!$D$10:$D$13,'Facturas y gastos'!$A$10:$A$13,A463)=0,"",J463*SUMIFS('Facturas y gastos'!$H$10:$H$13,'Facturas y gastos'!$A$10:$A$13,A463)/SUMIFS('Facturas y gastos'!$D$10:$D$13,'Facturas y gastos'!$A$10:$A$13,A463)))</f>
        <v>2.256594083263268</v>
      </c>
      <c r="M463" s="8">
        <f>IF(J463="","",IF(SUMIFS('Facturas y gastos'!$D$10:$D$13,'Facturas y gastos'!$A$10:$A$13,A463)=0,"",J463*SUMIFS('Facturas y gastos'!$I$10:$I$13,'Facturas y gastos'!$A$10:$A$13,A463)/SUMIFS('Facturas y gastos'!$D$10:$D$13,'Facturas y gastos'!$A$10:$A$13,A463)))</f>
        <v>12.983950049730021</v>
      </c>
      <c r="N463" s="8">
        <f>IF(J463="","",IF(SUMIFS('Facturas y gastos'!$D$10:$D$13,'Facturas y gastos'!$A$10:$A$13,A463)=0,"",J463*SUMIFS('Facturas y gastos'!$J$10:$J$13,'Facturas y gastos'!$A$10:$A$13,A463)/SUMIFS('Facturas y gastos'!$D$10:$D$13,'Facturas y gastos'!$A$10:$A$13,A463)))</f>
        <v>0</v>
      </c>
      <c r="O463" s="8">
        <f t="shared" si="14"/>
        <v>89.708362540618666</v>
      </c>
      <c r="P463" s="8" t="str">
        <f>IF(OR(O463="",'Facturas y gastos'!$B$24="",'Facturas y gastos'!$B$45&lt;&gt;"OK",SUM($O$8:$O$657)=0),"",O463*'Facturas y gastos'!$B$43/SUM($O$8:$O$657))</f>
        <v/>
      </c>
      <c r="Q463" s="8" t="str">
        <f>IF(OR(O463="",'Facturas y gastos'!$B$5="",P463=""),"",O463*'Facturas y gastos'!$B$5+P463)</f>
        <v/>
      </c>
      <c r="R463" s="8" t="str">
        <f t="shared" si="15"/>
        <v/>
      </c>
    </row>
    <row r="464" spans="1:18">
      <c r="A464" s="25" t="s">
        <v>62</v>
      </c>
      <c r="B464" s="25">
        <v>79</v>
      </c>
      <c r="C464" s="25" t="s">
        <v>632</v>
      </c>
      <c r="D464" s="25" t="s">
        <v>627</v>
      </c>
      <c r="E464" s="25" t="s">
        <v>108</v>
      </c>
      <c r="F464" s="27">
        <v>240</v>
      </c>
      <c r="G464" s="27">
        <v>1</v>
      </c>
      <c r="H464" s="29">
        <v>0.28000000000000003</v>
      </c>
      <c r="I464" s="29">
        <v>68.06</v>
      </c>
      <c r="J464" s="8">
        <f>IF(OR(A464="",I464=""),"",IF(SUMIFS($I$8:$I$657,$A$8:$A$657,A464)=0,"",I464*SUMIFS('Facturas y gastos'!$D$10:$D$13,'Facturas y gastos'!$A$10:$A$13,A464)/SUMIFS($I$8:$I$657,$A$8:$A$657,A464)))</f>
        <v>68.060014870937906</v>
      </c>
      <c r="K464" s="8">
        <f>IF(J464="","",IF(SUMIFS('Facturas y gastos'!$D$10:$D$13,'Facturas y gastos'!$A$10:$A$13,A464)=0,"",J464*SUMIFS('Facturas y gastos'!$G$10:$G$13,'Facturas y gastos'!$A$10:$A$13,A464)/SUMIFS('Facturas y gastos'!$D$10:$D$13,'Facturas y gastos'!$A$10:$A$13,A464)))</f>
        <v>0.68059821548745036</v>
      </c>
      <c r="L464" s="8">
        <f>IF(J464="","",IF(SUMIFS('Facturas y gastos'!$D$10:$D$13,'Facturas y gastos'!$A$10:$A$13,A464)=0,"",J464*SUMIFS('Facturas y gastos'!$H$10:$H$13,'Facturas y gastos'!$A$10:$A$13,A464)/SUMIFS('Facturas y gastos'!$D$10:$D$13,'Facturas y gastos'!$A$10:$A$13,A464)))</f>
        <v>2.0417946464623506</v>
      </c>
      <c r="M464" s="8">
        <f>IF(J464="","",IF(SUMIFS('Facturas y gastos'!$D$10:$D$13,'Facturas y gastos'!$A$10:$A$13,A464)=0,"",J464*SUMIFS('Facturas y gastos'!$I$10:$I$13,'Facturas y gastos'!$A$10:$A$13,A464)/SUMIFS('Facturas y gastos'!$D$10:$D$13,'Facturas y gastos'!$A$10:$A$13,A464)))</f>
        <v>11.748040951670106</v>
      </c>
      <c r="N464" s="8">
        <f>IF(J464="","",IF(SUMIFS('Facturas y gastos'!$D$10:$D$13,'Facturas y gastos'!$A$10:$A$13,A464)=0,"",J464*SUMIFS('Facturas y gastos'!$J$10:$J$13,'Facturas y gastos'!$A$10:$A$13,A464)/SUMIFS('Facturas y gastos'!$D$10:$D$13,'Facturas y gastos'!$A$10:$A$13,A464)))</f>
        <v>0</v>
      </c>
      <c r="O464" s="8">
        <f t="shared" si="14"/>
        <v>81.169252253582911</v>
      </c>
      <c r="P464" s="8" t="str">
        <f>IF(OR(O464="",'Facturas y gastos'!$B$24="",'Facturas y gastos'!$B$45&lt;&gt;"OK",SUM($O$8:$O$657)=0),"",O464*'Facturas y gastos'!$B$43/SUM($O$8:$O$657))</f>
        <v/>
      </c>
      <c r="Q464" s="8" t="str">
        <f>IF(OR(O464="",'Facturas y gastos'!$B$5="",P464=""),"",O464*'Facturas y gastos'!$B$5+P464)</f>
        <v/>
      </c>
      <c r="R464" s="8" t="str">
        <f t="shared" si="15"/>
        <v/>
      </c>
    </row>
    <row r="465" spans="1:18">
      <c r="A465" s="25" t="s">
        <v>62</v>
      </c>
      <c r="B465" s="25">
        <v>80</v>
      </c>
      <c r="C465" s="25" t="s">
        <v>633</v>
      </c>
      <c r="D465" s="25" t="s">
        <v>627</v>
      </c>
      <c r="E465" s="25" t="s">
        <v>108</v>
      </c>
      <c r="F465" s="27">
        <v>240</v>
      </c>
      <c r="G465" s="27">
        <v>1</v>
      </c>
      <c r="H465" s="29">
        <v>0.57999999999999996</v>
      </c>
      <c r="I465" s="29">
        <v>139.69999999999999</v>
      </c>
      <c r="J465" s="8">
        <f>IF(OR(A465="",I465=""),"",IF(SUMIFS($I$8:$I$657,$A$8:$A$657,A465)=0,"",I465*SUMIFS('Facturas y gastos'!$D$10:$D$13,'Facturas y gastos'!$A$10:$A$13,A465)/SUMIFS($I$8:$I$657,$A$8:$A$657,A465)))</f>
        <v>139.70003052409675</v>
      </c>
      <c r="K465" s="8">
        <f>IF(J465="","",IF(SUMIFS('Facturas y gastos'!$D$10:$D$13,'Facturas y gastos'!$A$10:$A$13,A465)=0,"",J465*SUMIFS('Facturas y gastos'!$G$10:$G$13,'Facturas y gastos'!$A$10:$A$13,A465)/SUMIFS('Facturas y gastos'!$D$10:$D$13,'Facturas y gastos'!$A$10:$A$13,A465)))</f>
        <v>1.3969963371083869</v>
      </c>
      <c r="L465" s="8">
        <f>IF(J465="","",IF(SUMIFS('Facturas y gastos'!$D$10:$D$13,'Facturas y gastos'!$A$10:$A$13,A465)=0,"",J465*SUMIFS('Facturas y gastos'!$H$10:$H$13,'Facturas y gastos'!$A$10:$A$13,A465)/SUMIFS('Facturas y gastos'!$D$10:$D$13,'Facturas y gastos'!$A$10:$A$13,A465)))</f>
        <v>4.1909890113251604</v>
      </c>
      <c r="M465" s="8">
        <f>IF(J465="","",IF(SUMIFS('Facturas y gastos'!$D$10:$D$13,'Facturas y gastos'!$A$10:$A$13,A465)=0,"",J465*SUMIFS('Facturas y gastos'!$I$10:$I$13,'Facturas y gastos'!$A$10:$A$13,A465)/SUMIFS('Facturas y gastos'!$D$10:$D$13,'Facturas y gastos'!$A$10:$A$13,A465)))</f>
        <v>24.114036452370168</v>
      </c>
      <c r="N465" s="8">
        <f>IF(J465="","",IF(SUMIFS('Facturas y gastos'!$D$10:$D$13,'Facturas y gastos'!$A$10:$A$13,A465)=0,"",J465*SUMIFS('Facturas y gastos'!$J$10:$J$13,'Facturas y gastos'!$A$10:$A$13,A465)/SUMIFS('Facturas y gastos'!$D$10:$D$13,'Facturas y gastos'!$A$10:$A$13,A465)))</f>
        <v>0</v>
      </c>
      <c r="O465" s="8">
        <f t="shared" si="14"/>
        <v>166.60805965068369</v>
      </c>
      <c r="P465" s="8" t="str">
        <f>IF(OR(O465="",'Facturas y gastos'!$B$24="",'Facturas y gastos'!$B$45&lt;&gt;"OK",SUM($O$8:$O$657)=0),"",O465*'Facturas y gastos'!$B$43/SUM($O$8:$O$657))</f>
        <v/>
      </c>
      <c r="Q465" s="8" t="str">
        <f>IF(OR(O465="",'Facturas y gastos'!$B$5="",P465=""),"",O465*'Facturas y gastos'!$B$5+P465)</f>
        <v/>
      </c>
      <c r="R465" s="8" t="str">
        <f t="shared" si="15"/>
        <v/>
      </c>
    </row>
    <row r="466" spans="1:18">
      <c r="A466" s="25" t="s">
        <v>62</v>
      </c>
      <c r="B466" s="25">
        <v>81</v>
      </c>
      <c r="C466" s="25" t="s">
        <v>634</v>
      </c>
      <c r="D466" s="25" t="s">
        <v>627</v>
      </c>
      <c r="E466" s="25" t="s">
        <v>108</v>
      </c>
      <c r="F466" s="27">
        <v>240</v>
      </c>
      <c r="G466" s="27">
        <v>1</v>
      </c>
      <c r="H466" s="29">
        <v>0.63</v>
      </c>
      <c r="I466" s="29">
        <v>150.44999999999999</v>
      </c>
      <c r="J466" s="8">
        <f>IF(OR(A466="",I466=""),"",IF(SUMIFS($I$8:$I$657,$A$8:$A$657,A466)=0,"",I466*SUMIFS('Facturas y gastos'!$D$10:$D$13,'Facturas y gastos'!$A$10:$A$13,A466)/SUMIFS($I$8:$I$657,$A$8:$A$657,A466)))</f>
        <v>150.45003287294455</v>
      </c>
      <c r="K466" s="8">
        <f>IF(J466="","",IF(SUMIFS('Facturas y gastos'!$D$10:$D$13,'Facturas y gastos'!$A$10:$A$13,A466)=0,"",J466*SUMIFS('Facturas y gastos'!$G$10:$G$13,'Facturas y gastos'!$A$10:$A$13,A466)/SUMIFS('Facturas y gastos'!$D$10:$D$13,'Facturas y gastos'!$A$10:$A$13,A466)))</f>
        <v>1.5044960552466484</v>
      </c>
      <c r="L466" s="8">
        <f>IF(J466="","",IF(SUMIFS('Facturas y gastos'!$D$10:$D$13,'Facturas y gastos'!$A$10:$A$13,A466)=0,"",J466*SUMIFS('Facturas y gastos'!$H$10:$H$13,'Facturas y gastos'!$A$10:$A$13,A466)/SUMIFS('Facturas y gastos'!$D$10:$D$13,'Facturas y gastos'!$A$10:$A$13,A466)))</f>
        <v>4.513488165739945</v>
      </c>
      <c r="M466" s="8">
        <f>IF(J466="","",IF(SUMIFS('Facturas y gastos'!$D$10:$D$13,'Facturas y gastos'!$A$10:$A$13,A466)=0,"",J466*SUMIFS('Facturas y gastos'!$I$10:$I$13,'Facturas y gastos'!$A$10:$A$13,A466)/SUMIFS('Facturas y gastos'!$D$10:$D$13,'Facturas y gastos'!$A$10:$A$13,A466)))</f>
        <v>25.969626229485268</v>
      </c>
      <c r="N466" s="8">
        <f>IF(J466="","",IF(SUMIFS('Facturas y gastos'!$D$10:$D$13,'Facturas y gastos'!$A$10:$A$13,A466)=0,"",J466*SUMIFS('Facturas y gastos'!$J$10:$J$13,'Facturas y gastos'!$A$10:$A$13,A466)/SUMIFS('Facturas y gastos'!$D$10:$D$13,'Facturas y gastos'!$A$10:$A$13,A466)))</f>
        <v>0</v>
      </c>
      <c r="O466" s="8">
        <f t="shared" si="14"/>
        <v>179.42865121292311</v>
      </c>
      <c r="P466" s="8" t="str">
        <f>IF(OR(O466="",'Facturas y gastos'!$B$24="",'Facturas y gastos'!$B$45&lt;&gt;"OK",SUM($O$8:$O$657)=0),"",O466*'Facturas y gastos'!$B$43/SUM($O$8:$O$657))</f>
        <v/>
      </c>
      <c r="Q466" s="8" t="str">
        <f>IF(OR(O466="",'Facturas y gastos'!$B$5="",P466=""),"",O466*'Facturas y gastos'!$B$5+P466)</f>
        <v/>
      </c>
      <c r="R466" s="8" t="str">
        <f t="shared" si="15"/>
        <v/>
      </c>
    </row>
    <row r="467" spans="1:18">
      <c r="A467" s="25" t="s">
        <v>62</v>
      </c>
      <c r="B467" s="25">
        <v>82</v>
      </c>
      <c r="C467" s="25" t="s">
        <v>635</v>
      </c>
      <c r="D467" s="25" t="s">
        <v>627</v>
      </c>
      <c r="E467" s="25" t="s">
        <v>108</v>
      </c>
      <c r="F467" s="27">
        <v>240</v>
      </c>
      <c r="G467" s="27">
        <v>1</v>
      </c>
      <c r="H467" s="29">
        <v>0.28000000000000003</v>
      </c>
      <c r="I467" s="29">
        <v>68.06</v>
      </c>
      <c r="J467" s="8">
        <f>IF(OR(A467="",I467=""),"",IF(SUMIFS($I$8:$I$657,$A$8:$A$657,A467)=0,"",I467*SUMIFS('Facturas y gastos'!$D$10:$D$13,'Facturas y gastos'!$A$10:$A$13,A467)/SUMIFS($I$8:$I$657,$A$8:$A$657,A467)))</f>
        <v>68.060014870937906</v>
      </c>
      <c r="K467" s="8">
        <f>IF(J467="","",IF(SUMIFS('Facturas y gastos'!$D$10:$D$13,'Facturas y gastos'!$A$10:$A$13,A467)=0,"",J467*SUMIFS('Facturas y gastos'!$G$10:$G$13,'Facturas y gastos'!$A$10:$A$13,A467)/SUMIFS('Facturas y gastos'!$D$10:$D$13,'Facturas y gastos'!$A$10:$A$13,A467)))</f>
        <v>0.68059821548745036</v>
      </c>
      <c r="L467" s="8">
        <f>IF(J467="","",IF(SUMIFS('Facturas y gastos'!$D$10:$D$13,'Facturas y gastos'!$A$10:$A$13,A467)=0,"",J467*SUMIFS('Facturas y gastos'!$H$10:$H$13,'Facturas y gastos'!$A$10:$A$13,A467)/SUMIFS('Facturas y gastos'!$D$10:$D$13,'Facturas y gastos'!$A$10:$A$13,A467)))</f>
        <v>2.0417946464623506</v>
      </c>
      <c r="M467" s="8">
        <f>IF(J467="","",IF(SUMIFS('Facturas y gastos'!$D$10:$D$13,'Facturas y gastos'!$A$10:$A$13,A467)=0,"",J467*SUMIFS('Facturas y gastos'!$I$10:$I$13,'Facturas y gastos'!$A$10:$A$13,A467)/SUMIFS('Facturas y gastos'!$D$10:$D$13,'Facturas y gastos'!$A$10:$A$13,A467)))</f>
        <v>11.748040951670106</v>
      </c>
      <c r="N467" s="8">
        <f>IF(J467="","",IF(SUMIFS('Facturas y gastos'!$D$10:$D$13,'Facturas y gastos'!$A$10:$A$13,A467)=0,"",J467*SUMIFS('Facturas y gastos'!$J$10:$J$13,'Facturas y gastos'!$A$10:$A$13,A467)/SUMIFS('Facturas y gastos'!$D$10:$D$13,'Facturas y gastos'!$A$10:$A$13,A467)))</f>
        <v>0</v>
      </c>
      <c r="O467" s="8">
        <f t="shared" si="14"/>
        <v>81.169252253582911</v>
      </c>
      <c r="P467" s="8" t="str">
        <f>IF(OR(O467="",'Facturas y gastos'!$B$24="",'Facturas y gastos'!$B$45&lt;&gt;"OK",SUM($O$8:$O$657)=0),"",O467*'Facturas y gastos'!$B$43/SUM($O$8:$O$657))</f>
        <v/>
      </c>
      <c r="Q467" s="8" t="str">
        <f>IF(OR(O467="",'Facturas y gastos'!$B$5="",P467=""),"",O467*'Facturas y gastos'!$B$5+P467)</f>
        <v/>
      </c>
      <c r="R467" s="8" t="str">
        <f t="shared" si="15"/>
        <v/>
      </c>
    </row>
    <row r="468" spans="1:18">
      <c r="A468" s="25" t="s">
        <v>62</v>
      </c>
      <c r="B468" s="25">
        <v>83</v>
      </c>
      <c r="C468" s="25" t="s">
        <v>636</v>
      </c>
      <c r="D468" s="25" t="s">
        <v>627</v>
      </c>
      <c r="E468" s="25" t="s">
        <v>108</v>
      </c>
      <c r="F468" s="27">
        <v>240</v>
      </c>
      <c r="G468" s="27">
        <v>1</v>
      </c>
      <c r="H468" s="29">
        <v>0.4</v>
      </c>
      <c r="I468" s="29">
        <v>96.72</v>
      </c>
      <c r="J468" s="8">
        <f>IF(OR(A468="",I468=""),"",IF(SUMIFS($I$8:$I$657,$A$8:$A$657,A468)=0,"",I468*SUMIFS('Facturas y gastos'!$D$10:$D$13,'Facturas y gastos'!$A$10:$A$13,A468)/SUMIFS($I$8:$I$657,$A$8:$A$657,A468)))</f>
        <v>96.720021133075448</v>
      </c>
      <c r="K468" s="8">
        <f>IF(J468="","",IF(SUMIFS('Facturas y gastos'!$D$10:$D$13,'Facturas y gastos'!$A$10:$A$13,A468)=0,"",J468*SUMIFS('Facturas y gastos'!$G$10:$G$13,'Facturas y gastos'!$A$10:$A$13,A468)/SUMIFS('Facturas y gastos'!$D$10:$D$13,'Facturas y gastos'!$A$10:$A$13,A468)))</f>
        <v>0.96719746403094642</v>
      </c>
      <c r="L468" s="8">
        <f>IF(J468="","",IF(SUMIFS('Facturas y gastos'!$D$10:$D$13,'Facturas y gastos'!$A$10:$A$13,A468)=0,"",J468*SUMIFS('Facturas y gastos'!$H$10:$H$13,'Facturas y gastos'!$A$10:$A$13,A468)/SUMIFS('Facturas y gastos'!$D$10:$D$13,'Facturas y gastos'!$A$10:$A$13,A468)))</f>
        <v>2.901592392092839</v>
      </c>
      <c r="M468" s="8">
        <f>IF(J468="","",IF(SUMIFS('Facturas y gastos'!$D$10:$D$13,'Facturas y gastos'!$A$10:$A$13,A468)=0,"",J468*SUMIFS('Facturas y gastos'!$I$10:$I$13,'Facturas y gastos'!$A$10:$A$13,A468)/SUMIFS('Facturas y gastos'!$D$10:$D$13,'Facturas y gastos'!$A$10:$A$13,A468)))</f>
        <v>16.695129603960225</v>
      </c>
      <c r="N468" s="8">
        <f>IF(J468="","",IF(SUMIFS('Facturas y gastos'!$D$10:$D$13,'Facturas y gastos'!$A$10:$A$13,A468)=0,"",J468*SUMIFS('Facturas y gastos'!$J$10:$J$13,'Facturas y gastos'!$A$10:$A$13,A468)/SUMIFS('Facturas y gastos'!$D$10:$D$13,'Facturas y gastos'!$A$10:$A$13,A468)))</f>
        <v>0</v>
      </c>
      <c r="O468" s="8">
        <f t="shared" si="14"/>
        <v>115.34954566509757</v>
      </c>
      <c r="P468" s="8" t="str">
        <f>IF(OR(O468="",'Facturas y gastos'!$B$24="",'Facturas y gastos'!$B$45&lt;&gt;"OK",SUM($O$8:$O$657)=0),"",O468*'Facturas y gastos'!$B$43/SUM($O$8:$O$657))</f>
        <v/>
      </c>
      <c r="Q468" s="8" t="str">
        <f>IF(OR(O468="",'Facturas y gastos'!$B$5="",P468=""),"",O468*'Facturas y gastos'!$B$5+P468)</f>
        <v/>
      </c>
      <c r="R468" s="8" t="str">
        <f t="shared" si="15"/>
        <v/>
      </c>
    </row>
    <row r="469" spans="1:18">
      <c r="A469" s="25" t="s">
        <v>62</v>
      </c>
      <c r="B469" s="25">
        <v>84</v>
      </c>
      <c r="C469" s="25" t="s">
        <v>637</v>
      </c>
      <c r="D469" s="25" t="s">
        <v>627</v>
      </c>
      <c r="E469" s="25" t="s">
        <v>108</v>
      </c>
      <c r="F469" s="27">
        <v>240</v>
      </c>
      <c r="G469" s="27">
        <v>1</v>
      </c>
      <c r="H469" s="29">
        <v>0.63</v>
      </c>
      <c r="I469" s="29">
        <v>150.44999999999999</v>
      </c>
      <c r="J469" s="8">
        <f>IF(OR(A469="",I469=""),"",IF(SUMIFS($I$8:$I$657,$A$8:$A$657,A469)=0,"",I469*SUMIFS('Facturas y gastos'!$D$10:$D$13,'Facturas y gastos'!$A$10:$A$13,A469)/SUMIFS($I$8:$I$657,$A$8:$A$657,A469)))</f>
        <v>150.45003287294455</v>
      </c>
      <c r="K469" s="8">
        <f>IF(J469="","",IF(SUMIFS('Facturas y gastos'!$D$10:$D$13,'Facturas y gastos'!$A$10:$A$13,A469)=0,"",J469*SUMIFS('Facturas y gastos'!$G$10:$G$13,'Facturas y gastos'!$A$10:$A$13,A469)/SUMIFS('Facturas y gastos'!$D$10:$D$13,'Facturas y gastos'!$A$10:$A$13,A469)))</f>
        <v>1.5044960552466484</v>
      </c>
      <c r="L469" s="8">
        <f>IF(J469="","",IF(SUMIFS('Facturas y gastos'!$D$10:$D$13,'Facturas y gastos'!$A$10:$A$13,A469)=0,"",J469*SUMIFS('Facturas y gastos'!$H$10:$H$13,'Facturas y gastos'!$A$10:$A$13,A469)/SUMIFS('Facturas y gastos'!$D$10:$D$13,'Facturas y gastos'!$A$10:$A$13,A469)))</f>
        <v>4.513488165739945</v>
      </c>
      <c r="M469" s="8">
        <f>IF(J469="","",IF(SUMIFS('Facturas y gastos'!$D$10:$D$13,'Facturas y gastos'!$A$10:$A$13,A469)=0,"",J469*SUMIFS('Facturas y gastos'!$I$10:$I$13,'Facturas y gastos'!$A$10:$A$13,A469)/SUMIFS('Facturas y gastos'!$D$10:$D$13,'Facturas y gastos'!$A$10:$A$13,A469)))</f>
        <v>25.969626229485268</v>
      </c>
      <c r="N469" s="8">
        <f>IF(J469="","",IF(SUMIFS('Facturas y gastos'!$D$10:$D$13,'Facturas y gastos'!$A$10:$A$13,A469)=0,"",J469*SUMIFS('Facturas y gastos'!$J$10:$J$13,'Facturas y gastos'!$A$10:$A$13,A469)/SUMIFS('Facturas y gastos'!$D$10:$D$13,'Facturas y gastos'!$A$10:$A$13,A469)))</f>
        <v>0</v>
      </c>
      <c r="O469" s="8">
        <f t="shared" si="14"/>
        <v>179.42865121292311</v>
      </c>
      <c r="P469" s="8" t="str">
        <f>IF(OR(O469="",'Facturas y gastos'!$B$24="",'Facturas y gastos'!$B$45&lt;&gt;"OK",SUM($O$8:$O$657)=0),"",O469*'Facturas y gastos'!$B$43/SUM($O$8:$O$657))</f>
        <v/>
      </c>
      <c r="Q469" s="8" t="str">
        <f>IF(OR(O469="",'Facturas y gastos'!$B$5="",P469=""),"",O469*'Facturas y gastos'!$B$5+P469)</f>
        <v/>
      </c>
      <c r="R469" s="8" t="str">
        <f t="shared" si="15"/>
        <v/>
      </c>
    </row>
    <row r="470" spans="1:18">
      <c r="A470" s="25" t="s">
        <v>62</v>
      </c>
      <c r="B470" s="25">
        <v>85</v>
      </c>
      <c r="C470" s="25" t="s">
        <v>638</v>
      </c>
      <c r="D470" s="25" t="s">
        <v>627</v>
      </c>
      <c r="E470" s="25" t="s">
        <v>108</v>
      </c>
      <c r="F470" s="27">
        <v>240</v>
      </c>
      <c r="G470" s="27">
        <v>1</v>
      </c>
      <c r="H470" s="29">
        <v>0.31</v>
      </c>
      <c r="I470" s="29">
        <v>75.22</v>
      </c>
      <c r="J470" s="8">
        <f>IF(OR(A470="",I470=""),"",IF(SUMIFS($I$8:$I$657,$A$8:$A$657,A470)=0,"",I470*SUMIFS('Facturas y gastos'!$D$10:$D$13,'Facturas y gastos'!$A$10:$A$13,A470)/SUMIFS($I$8:$I$657,$A$8:$A$657,A470)))</f>
        <v>75.22001643537979</v>
      </c>
      <c r="K470" s="8">
        <f>IF(J470="","",IF(SUMIFS('Facturas y gastos'!$D$10:$D$13,'Facturas y gastos'!$A$10:$A$13,A470)=0,"",J470*SUMIFS('Facturas y gastos'!$G$10:$G$13,'Facturas y gastos'!$A$10:$A$13,A470)/SUMIFS('Facturas y gastos'!$D$10:$D$13,'Facturas y gastos'!$A$10:$A$13,A470)))</f>
        <v>0.75219802775442268</v>
      </c>
      <c r="L470" s="8">
        <f>IF(J470="","",IF(SUMIFS('Facturas y gastos'!$D$10:$D$13,'Facturas y gastos'!$A$10:$A$13,A470)=0,"",J470*SUMIFS('Facturas y gastos'!$H$10:$H$13,'Facturas y gastos'!$A$10:$A$13,A470)/SUMIFS('Facturas y gastos'!$D$10:$D$13,'Facturas y gastos'!$A$10:$A$13,A470)))</f>
        <v>2.256594083263268</v>
      </c>
      <c r="M470" s="8">
        <f>IF(J470="","",IF(SUMIFS('Facturas y gastos'!$D$10:$D$13,'Facturas y gastos'!$A$10:$A$13,A470)=0,"",J470*SUMIFS('Facturas y gastos'!$I$10:$I$13,'Facturas y gastos'!$A$10:$A$13,A470)/SUMIFS('Facturas y gastos'!$D$10:$D$13,'Facturas y gastos'!$A$10:$A$13,A470)))</f>
        <v>12.983950049730021</v>
      </c>
      <c r="N470" s="8">
        <f>IF(J470="","",IF(SUMIFS('Facturas y gastos'!$D$10:$D$13,'Facturas y gastos'!$A$10:$A$13,A470)=0,"",J470*SUMIFS('Facturas y gastos'!$J$10:$J$13,'Facturas y gastos'!$A$10:$A$13,A470)/SUMIFS('Facturas y gastos'!$D$10:$D$13,'Facturas y gastos'!$A$10:$A$13,A470)))</f>
        <v>0</v>
      </c>
      <c r="O470" s="8">
        <f t="shared" si="14"/>
        <v>89.708362540618666</v>
      </c>
      <c r="P470" s="8" t="str">
        <f>IF(OR(O470="",'Facturas y gastos'!$B$24="",'Facturas y gastos'!$B$45&lt;&gt;"OK",SUM($O$8:$O$657)=0),"",O470*'Facturas y gastos'!$B$43/SUM($O$8:$O$657))</f>
        <v/>
      </c>
      <c r="Q470" s="8" t="str">
        <f>IF(OR(O470="",'Facturas y gastos'!$B$5="",P470=""),"",O470*'Facturas y gastos'!$B$5+P470)</f>
        <v/>
      </c>
      <c r="R470" s="8" t="str">
        <f t="shared" si="15"/>
        <v/>
      </c>
    </row>
    <row r="471" spans="1:18">
      <c r="A471" s="25" t="s">
        <v>62</v>
      </c>
      <c r="B471" s="25">
        <v>86</v>
      </c>
      <c r="C471" s="25" t="s">
        <v>639</v>
      </c>
      <c r="D471" s="25" t="s">
        <v>627</v>
      </c>
      <c r="E471" s="25" t="s">
        <v>108</v>
      </c>
      <c r="F471" s="27">
        <v>240</v>
      </c>
      <c r="G471" s="27">
        <v>1</v>
      </c>
      <c r="H471" s="29">
        <v>0.6</v>
      </c>
      <c r="I471" s="29">
        <v>143.28</v>
      </c>
      <c r="J471" s="8">
        <f>IF(OR(A471="",I471=""),"",IF(SUMIFS($I$8:$I$657,$A$8:$A$657,A471)=0,"",I471*SUMIFS('Facturas y gastos'!$D$10:$D$13,'Facturas y gastos'!$A$10:$A$13,A471)/SUMIFS($I$8:$I$657,$A$8:$A$657,A471)))</f>
        <v>143.28003130631771</v>
      </c>
      <c r="K471" s="8">
        <f>IF(J471="","",IF(SUMIFS('Facturas y gastos'!$D$10:$D$13,'Facturas y gastos'!$A$10:$A$13,A471)=0,"",J471*SUMIFS('Facturas y gastos'!$G$10:$G$13,'Facturas y gastos'!$A$10:$A$13,A471)/SUMIFS('Facturas y gastos'!$D$10:$D$13,'Facturas y gastos'!$A$10:$A$13,A471)))</f>
        <v>1.432796243241873</v>
      </c>
      <c r="L471" s="8">
        <f>IF(J471="","",IF(SUMIFS('Facturas y gastos'!$D$10:$D$13,'Facturas y gastos'!$A$10:$A$13,A471)=0,"",J471*SUMIFS('Facturas y gastos'!$H$10:$H$13,'Facturas y gastos'!$A$10:$A$13,A471)/SUMIFS('Facturas y gastos'!$D$10:$D$13,'Facturas y gastos'!$A$10:$A$13,A471)))</f>
        <v>4.2983887297256187</v>
      </c>
      <c r="M471" s="8">
        <f>IF(J471="","",IF(SUMIFS('Facturas y gastos'!$D$10:$D$13,'Facturas y gastos'!$A$10:$A$13,A471)=0,"",J471*SUMIFS('Facturas y gastos'!$I$10:$I$13,'Facturas y gastos'!$A$10:$A$13,A471)/SUMIFS('Facturas y gastos'!$D$10:$D$13,'Facturas y gastos'!$A$10:$A$13,A471)))</f>
        <v>24.731991001400132</v>
      </c>
      <c r="N471" s="8">
        <f>IF(J471="","",IF(SUMIFS('Facturas y gastos'!$D$10:$D$13,'Facturas y gastos'!$A$10:$A$13,A471)=0,"",J471*SUMIFS('Facturas y gastos'!$J$10:$J$13,'Facturas y gastos'!$A$10:$A$13,A471)/SUMIFS('Facturas y gastos'!$D$10:$D$13,'Facturas y gastos'!$A$10:$A$13,A471)))</f>
        <v>0</v>
      </c>
      <c r="O471" s="8">
        <f t="shared" si="14"/>
        <v>170.87761479420158</v>
      </c>
      <c r="P471" s="8" t="str">
        <f>IF(OR(O471="",'Facturas y gastos'!$B$24="",'Facturas y gastos'!$B$45&lt;&gt;"OK",SUM($O$8:$O$657)=0),"",O471*'Facturas y gastos'!$B$43/SUM($O$8:$O$657))</f>
        <v/>
      </c>
      <c r="Q471" s="8" t="str">
        <f>IF(OR(O471="",'Facturas y gastos'!$B$5="",P471=""),"",O471*'Facturas y gastos'!$B$5+P471)</f>
        <v/>
      </c>
      <c r="R471" s="8" t="str">
        <f t="shared" si="15"/>
        <v/>
      </c>
    </row>
    <row r="472" spans="1:18">
      <c r="A472" s="25" t="s">
        <v>62</v>
      </c>
      <c r="B472" s="25">
        <v>87</v>
      </c>
      <c r="C472" s="25" t="s">
        <v>640</v>
      </c>
      <c r="D472" s="25" t="s">
        <v>627</v>
      </c>
      <c r="E472" s="25" t="s">
        <v>108</v>
      </c>
      <c r="F472" s="27">
        <v>240</v>
      </c>
      <c r="G472" s="27">
        <v>1</v>
      </c>
      <c r="H472" s="29">
        <v>0.27</v>
      </c>
      <c r="I472" s="29">
        <v>64.48</v>
      </c>
      <c r="J472" s="8">
        <f>IF(OR(A472="",I472=""),"",IF(SUMIFS($I$8:$I$657,$A$8:$A$657,A472)=0,"",I472*SUMIFS('Facturas y gastos'!$D$10:$D$13,'Facturas y gastos'!$A$10:$A$13,A472)/SUMIFS($I$8:$I$657,$A$8:$A$657,A472)))</f>
        <v>64.48001408871697</v>
      </c>
      <c r="K472" s="8">
        <f>IF(J472="","",IF(SUMIFS('Facturas y gastos'!$D$10:$D$13,'Facturas y gastos'!$A$10:$A$13,A472)=0,"",J472*SUMIFS('Facturas y gastos'!$G$10:$G$13,'Facturas y gastos'!$A$10:$A$13,A472)/SUMIFS('Facturas y gastos'!$D$10:$D$13,'Facturas y gastos'!$A$10:$A$13,A472)))</f>
        <v>0.64479830935396421</v>
      </c>
      <c r="L472" s="8">
        <f>IF(J472="","",IF(SUMIFS('Facturas y gastos'!$D$10:$D$13,'Facturas y gastos'!$A$10:$A$13,A472)=0,"",J472*SUMIFS('Facturas y gastos'!$H$10:$H$13,'Facturas y gastos'!$A$10:$A$13,A472)/SUMIFS('Facturas y gastos'!$D$10:$D$13,'Facturas y gastos'!$A$10:$A$13,A472)))</f>
        <v>1.9343949280618928</v>
      </c>
      <c r="M472" s="8">
        <f>IF(J472="","",IF(SUMIFS('Facturas y gastos'!$D$10:$D$13,'Facturas y gastos'!$A$10:$A$13,A472)=0,"",J472*SUMIFS('Facturas y gastos'!$I$10:$I$13,'Facturas y gastos'!$A$10:$A$13,A472)/SUMIFS('Facturas y gastos'!$D$10:$D$13,'Facturas y gastos'!$A$10:$A$13,A472)))</f>
        <v>11.130086402640151</v>
      </c>
      <c r="N472" s="8">
        <f>IF(J472="","",IF(SUMIFS('Facturas y gastos'!$D$10:$D$13,'Facturas y gastos'!$A$10:$A$13,A472)=0,"",J472*SUMIFS('Facturas y gastos'!$J$10:$J$13,'Facturas y gastos'!$A$10:$A$13,A472)/SUMIFS('Facturas y gastos'!$D$10:$D$13,'Facturas y gastos'!$A$10:$A$13,A472)))</f>
        <v>0</v>
      </c>
      <c r="O472" s="8">
        <f t="shared" si="14"/>
        <v>76.899697110065048</v>
      </c>
      <c r="P472" s="8" t="str">
        <f>IF(OR(O472="",'Facturas y gastos'!$B$24="",'Facturas y gastos'!$B$45&lt;&gt;"OK",SUM($O$8:$O$657)=0),"",O472*'Facturas y gastos'!$B$43/SUM($O$8:$O$657))</f>
        <v/>
      </c>
      <c r="Q472" s="8" t="str">
        <f>IF(OR(O472="",'Facturas y gastos'!$B$5="",P472=""),"",O472*'Facturas y gastos'!$B$5+P472)</f>
        <v/>
      </c>
      <c r="R472" s="8" t="str">
        <f t="shared" si="15"/>
        <v/>
      </c>
    </row>
    <row r="473" spans="1:18">
      <c r="A473" s="25" t="s">
        <v>62</v>
      </c>
      <c r="B473" s="25">
        <v>88</v>
      </c>
      <c r="C473" s="25" t="s">
        <v>641</v>
      </c>
      <c r="D473" s="25" t="s">
        <v>627</v>
      </c>
      <c r="E473" s="25" t="s">
        <v>108</v>
      </c>
      <c r="F473" s="27">
        <v>240</v>
      </c>
      <c r="G473" s="27">
        <v>1</v>
      </c>
      <c r="H473" s="29">
        <v>0.6</v>
      </c>
      <c r="I473" s="29">
        <v>143.28</v>
      </c>
      <c r="J473" s="8">
        <f>IF(OR(A473="",I473=""),"",IF(SUMIFS($I$8:$I$657,$A$8:$A$657,A473)=0,"",I473*SUMIFS('Facturas y gastos'!$D$10:$D$13,'Facturas y gastos'!$A$10:$A$13,A473)/SUMIFS($I$8:$I$657,$A$8:$A$657,A473)))</f>
        <v>143.28003130631771</v>
      </c>
      <c r="K473" s="8">
        <f>IF(J473="","",IF(SUMIFS('Facturas y gastos'!$D$10:$D$13,'Facturas y gastos'!$A$10:$A$13,A473)=0,"",J473*SUMIFS('Facturas y gastos'!$G$10:$G$13,'Facturas y gastos'!$A$10:$A$13,A473)/SUMIFS('Facturas y gastos'!$D$10:$D$13,'Facturas y gastos'!$A$10:$A$13,A473)))</f>
        <v>1.432796243241873</v>
      </c>
      <c r="L473" s="8">
        <f>IF(J473="","",IF(SUMIFS('Facturas y gastos'!$D$10:$D$13,'Facturas y gastos'!$A$10:$A$13,A473)=0,"",J473*SUMIFS('Facturas y gastos'!$H$10:$H$13,'Facturas y gastos'!$A$10:$A$13,A473)/SUMIFS('Facturas y gastos'!$D$10:$D$13,'Facturas y gastos'!$A$10:$A$13,A473)))</f>
        <v>4.2983887297256187</v>
      </c>
      <c r="M473" s="8">
        <f>IF(J473="","",IF(SUMIFS('Facturas y gastos'!$D$10:$D$13,'Facturas y gastos'!$A$10:$A$13,A473)=0,"",J473*SUMIFS('Facturas y gastos'!$I$10:$I$13,'Facturas y gastos'!$A$10:$A$13,A473)/SUMIFS('Facturas y gastos'!$D$10:$D$13,'Facturas y gastos'!$A$10:$A$13,A473)))</f>
        <v>24.731991001400132</v>
      </c>
      <c r="N473" s="8">
        <f>IF(J473="","",IF(SUMIFS('Facturas y gastos'!$D$10:$D$13,'Facturas y gastos'!$A$10:$A$13,A473)=0,"",J473*SUMIFS('Facturas y gastos'!$J$10:$J$13,'Facturas y gastos'!$A$10:$A$13,A473)/SUMIFS('Facturas y gastos'!$D$10:$D$13,'Facturas y gastos'!$A$10:$A$13,A473)))</f>
        <v>0</v>
      </c>
      <c r="O473" s="8">
        <f t="shared" si="14"/>
        <v>170.87761479420158</v>
      </c>
      <c r="P473" s="8" t="str">
        <f>IF(OR(O473="",'Facturas y gastos'!$B$24="",'Facturas y gastos'!$B$45&lt;&gt;"OK",SUM($O$8:$O$657)=0),"",O473*'Facturas y gastos'!$B$43/SUM($O$8:$O$657))</f>
        <v/>
      </c>
      <c r="Q473" s="8" t="str">
        <f>IF(OR(O473="",'Facturas y gastos'!$B$5="",P473=""),"",O473*'Facturas y gastos'!$B$5+P473)</f>
        <v/>
      </c>
      <c r="R473" s="8" t="str">
        <f t="shared" si="15"/>
        <v/>
      </c>
    </row>
    <row r="474" spans="1:18">
      <c r="A474" s="25" t="s">
        <v>62</v>
      </c>
      <c r="B474" s="25">
        <v>89</v>
      </c>
      <c r="C474" s="25" t="s">
        <v>642</v>
      </c>
      <c r="D474" s="25" t="s">
        <v>627</v>
      </c>
      <c r="E474" s="25" t="s">
        <v>108</v>
      </c>
      <c r="F474" s="27">
        <v>240</v>
      </c>
      <c r="G474" s="27">
        <v>1</v>
      </c>
      <c r="H474" s="29">
        <v>0.6</v>
      </c>
      <c r="I474" s="29">
        <v>143.28</v>
      </c>
      <c r="J474" s="8">
        <f>IF(OR(A474="",I474=""),"",IF(SUMIFS($I$8:$I$657,$A$8:$A$657,A474)=0,"",I474*SUMIFS('Facturas y gastos'!$D$10:$D$13,'Facturas y gastos'!$A$10:$A$13,A474)/SUMIFS($I$8:$I$657,$A$8:$A$657,A474)))</f>
        <v>143.28003130631771</v>
      </c>
      <c r="K474" s="8">
        <f>IF(J474="","",IF(SUMIFS('Facturas y gastos'!$D$10:$D$13,'Facturas y gastos'!$A$10:$A$13,A474)=0,"",J474*SUMIFS('Facturas y gastos'!$G$10:$G$13,'Facturas y gastos'!$A$10:$A$13,A474)/SUMIFS('Facturas y gastos'!$D$10:$D$13,'Facturas y gastos'!$A$10:$A$13,A474)))</f>
        <v>1.432796243241873</v>
      </c>
      <c r="L474" s="8">
        <f>IF(J474="","",IF(SUMIFS('Facturas y gastos'!$D$10:$D$13,'Facturas y gastos'!$A$10:$A$13,A474)=0,"",J474*SUMIFS('Facturas y gastos'!$H$10:$H$13,'Facturas y gastos'!$A$10:$A$13,A474)/SUMIFS('Facturas y gastos'!$D$10:$D$13,'Facturas y gastos'!$A$10:$A$13,A474)))</f>
        <v>4.2983887297256187</v>
      </c>
      <c r="M474" s="8">
        <f>IF(J474="","",IF(SUMIFS('Facturas y gastos'!$D$10:$D$13,'Facturas y gastos'!$A$10:$A$13,A474)=0,"",J474*SUMIFS('Facturas y gastos'!$I$10:$I$13,'Facturas y gastos'!$A$10:$A$13,A474)/SUMIFS('Facturas y gastos'!$D$10:$D$13,'Facturas y gastos'!$A$10:$A$13,A474)))</f>
        <v>24.731991001400132</v>
      </c>
      <c r="N474" s="8">
        <f>IF(J474="","",IF(SUMIFS('Facturas y gastos'!$D$10:$D$13,'Facturas y gastos'!$A$10:$A$13,A474)=0,"",J474*SUMIFS('Facturas y gastos'!$J$10:$J$13,'Facturas y gastos'!$A$10:$A$13,A474)/SUMIFS('Facturas y gastos'!$D$10:$D$13,'Facturas y gastos'!$A$10:$A$13,A474)))</f>
        <v>0</v>
      </c>
      <c r="O474" s="8">
        <f t="shared" si="14"/>
        <v>170.87761479420158</v>
      </c>
      <c r="P474" s="8" t="str">
        <f>IF(OR(O474="",'Facturas y gastos'!$B$24="",'Facturas y gastos'!$B$45&lt;&gt;"OK",SUM($O$8:$O$657)=0),"",O474*'Facturas y gastos'!$B$43/SUM($O$8:$O$657))</f>
        <v/>
      </c>
      <c r="Q474" s="8" t="str">
        <f>IF(OR(O474="",'Facturas y gastos'!$B$5="",P474=""),"",O474*'Facturas y gastos'!$B$5+P474)</f>
        <v/>
      </c>
      <c r="R474" s="8" t="str">
        <f t="shared" si="15"/>
        <v/>
      </c>
    </row>
    <row r="475" spans="1:18">
      <c r="A475" s="25" t="s">
        <v>62</v>
      </c>
      <c r="B475" s="25">
        <v>90</v>
      </c>
      <c r="C475" s="25" t="s">
        <v>643</v>
      </c>
      <c r="D475" s="25" t="s">
        <v>627</v>
      </c>
      <c r="E475" s="25" t="s">
        <v>108</v>
      </c>
      <c r="F475" s="27">
        <v>240</v>
      </c>
      <c r="G475" s="27">
        <v>1</v>
      </c>
      <c r="H475" s="29">
        <v>0.6</v>
      </c>
      <c r="I475" s="29">
        <v>143.28</v>
      </c>
      <c r="J475" s="8">
        <f>IF(OR(A475="",I475=""),"",IF(SUMIFS($I$8:$I$657,$A$8:$A$657,A475)=0,"",I475*SUMIFS('Facturas y gastos'!$D$10:$D$13,'Facturas y gastos'!$A$10:$A$13,A475)/SUMIFS($I$8:$I$657,$A$8:$A$657,A475)))</f>
        <v>143.28003130631771</v>
      </c>
      <c r="K475" s="8">
        <f>IF(J475="","",IF(SUMIFS('Facturas y gastos'!$D$10:$D$13,'Facturas y gastos'!$A$10:$A$13,A475)=0,"",J475*SUMIFS('Facturas y gastos'!$G$10:$G$13,'Facturas y gastos'!$A$10:$A$13,A475)/SUMIFS('Facturas y gastos'!$D$10:$D$13,'Facturas y gastos'!$A$10:$A$13,A475)))</f>
        <v>1.432796243241873</v>
      </c>
      <c r="L475" s="8">
        <f>IF(J475="","",IF(SUMIFS('Facturas y gastos'!$D$10:$D$13,'Facturas y gastos'!$A$10:$A$13,A475)=0,"",J475*SUMIFS('Facturas y gastos'!$H$10:$H$13,'Facturas y gastos'!$A$10:$A$13,A475)/SUMIFS('Facturas y gastos'!$D$10:$D$13,'Facturas y gastos'!$A$10:$A$13,A475)))</f>
        <v>4.2983887297256187</v>
      </c>
      <c r="M475" s="8">
        <f>IF(J475="","",IF(SUMIFS('Facturas y gastos'!$D$10:$D$13,'Facturas y gastos'!$A$10:$A$13,A475)=0,"",J475*SUMIFS('Facturas y gastos'!$I$10:$I$13,'Facturas y gastos'!$A$10:$A$13,A475)/SUMIFS('Facturas y gastos'!$D$10:$D$13,'Facturas y gastos'!$A$10:$A$13,A475)))</f>
        <v>24.731991001400132</v>
      </c>
      <c r="N475" s="8">
        <f>IF(J475="","",IF(SUMIFS('Facturas y gastos'!$D$10:$D$13,'Facturas y gastos'!$A$10:$A$13,A475)=0,"",J475*SUMIFS('Facturas y gastos'!$J$10:$J$13,'Facturas y gastos'!$A$10:$A$13,A475)/SUMIFS('Facturas y gastos'!$D$10:$D$13,'Facturas y gastos'!$A$10:$A$13,A475)))</f>
        <v>0</v>
      </c>
      <c r="O475" s="8">
        <f t="shared" si="14"/>
        <v>170.87761479420158</v>
      </c>
      <c r="P475" s="8" t="str">
        <f>IF(OR(O475="",'Facturas y gastos'!$B$24="",'Facturas y gastos'!$B$45&lt;&gt;"OK",SUM($O$8:$O$657)=0),"",O475*'Facturas y gastos'!$B$43/SUM($O$8:$O$657))</f>
        <v/>
      </c>
      <c r="Q475" s="8" t="str">
        <f>IF(OR(O475="",'Facturas y gastos'!$B$5="",P475=""),"",O475*'Facturas y gastos'!$B$5+P475)</f>
        <v/>
      </c>
      <c r="R475" s="8" t="str">
        <f t="shared" si="15"/>
        <v/>
      </c>
    </row>
    <row r="476" spans="1:18">
      <c r="A476" s="25" t="s">
        <v>62</v>
      </c>
      <c r="B476" s="25">
        <v>91</v>
      </c>
      <c r="C476" s="25" t="s">
        <v>644</v>
      </c>
      <c r="D476" s="25" t="s">
        <v>627</v>
      </c>
      <c r="E476" s="25" t="s">
        <v>108</v>
      </c>
      <c r="F476" s="27">
        <v>144</v>
      </c>
      <c r="G476" s="27">
        <v>1</v>
      </c>
      <c r="H476" s="29">
        <v>1.43</v>
      </c>
      <c r="I476" s="29">
        <v>206.33</v>
      </c>
      <c r="J476" s="8">
        <f>IF(OR(A476="",I476=""),"",IF(SUMIFS($I$8:$I$657,$A$8:$A$657,A476)=0,"",I476*SUMIFS('Facturas y gastos'!$D$10:$D$13,'Facturas y gastos'!$A$10:$A$13,A476)/SUMIFS($I$8:$I$657,$A$8:$A$657,A476)))</f>
        <v>206.3300450825833</v>
      </c>
      <c r="K476" s="8">
        <f>IF(J476="","",IF(SUMIFS('Facturas y gastos'!$D$10:$D$13,'Facturas y gastos'!$A$10:$A$13,A476)=0,"",J476*SUMIFS('Facturas y gastos'!$G$10:$G$13,'Facturas y gastos'!$A$10:$A$13,A476)/SUMIFS('Facturas y gastos'!$D$10:$D$13,'Facturas y gastos'!$A$10:$A$13,A476)))</f>
        <v>2.0632945900900035</v>
      </c>
      <c r="L476" s="8">
        <f>IF(J476="","",IF(SUMIFS('Facturas y gastos'!$D$10:$D$13,'Facturas y gastos'!$A$10:$A$13,A476)=0,"",J476*SUMIFS('Facturas y gastos'!$H$10:$H$13,'Facturas y gastos'!$A$10:$A$13,A476)/SUMIFS('Facturas y gastos'!$D$10:$D$13,'Facturas y gastos'!$A$10:$A$13,A476)))</f>
        <v>6.1898837702700105</v>
      </c>
      <c r="M476" s="8">
        <f>IF(J476="","",IF(SUMIFS('Facturas y gastos'!$D$10:$D$13,'Facturas y gastos'!$A$10:$A$13,A476)=0,"",J476*SUMIFS('Facturas y gastos'!$I$10:$I$13,'Facturas y gastos'!$A$10:$A$13,A476)/SUMIFS('Facturas y gastos'!$D$10:$D$13,'Facturas y gastos'!$A$10:$A$13,A476)))</f>
        <v>35.615240810433342</v>
      </c>
      <c r="N476" s="8">
        <f>IF(J476="","",IF(SUMIFS('Facturas y gastos'!$D$10:$D$13,'Facturas y gastos'!$A$10:$A$13,A476)=0,"",J476*SUMIFS('Facturas y gastos'!$J$10:$J$13,'Facturas y gastos'!$A$10:$A$13,A476)/SUMIFS('Facturas y gastos'!$D$10:$D$13,'Facturas y gastos'!$A$10:$A$13,A476)))</f>
        <v>0</v>
      </c>
      <c r="O476" s="8">
        <f t="shared" si="14"/>
        <v>246.07187507319662</v>
      </c>
      <c r="P476" s="8" t="str">
        <f>IF(OR(O476="",'Facturas y gastos'!$B$24="",'Facturas y gastos'!$B$45&lt;&gt;"OK",SUM($O$8:$O$657)=0),"",O476*'Facturas y gastos'!$B$43/SUM($O$8:$O$657))</f>
        <v/>
      </c>
      <c r="Q476" s="8" t="str">
        <f>IF(OR(O476="",'Facturas y gastos'!$B$5="",P476=""),"",O476*'Facturas y gastos'!$B$5+P476)</f>
        <v/>
      </c>
      <c r="R476" s="8" t="str">
        <f t="shared" si="15"/>
        <v/>
      </c>
    </row>
    <row r="477" spans="1:18">
      <c r="A477" s="25" t="s">
        <v>62</v>
      </c>
      <c r="B477" s="25">
        <v>92</v>
      </c>
      <c r="C477" s="25" t="s">
        <v>645</v>
      </c>
      <c r="D477" s="25" t="s">
        <v>627</v>
      </c>
      <c r="E477" s="25" t="s">
        <v>108</v>
      </c>
      <c r="F477" s="27">
        <v>144</v>
      </c>
      <c r="G477" s="27">
        <v>1</v>
      </c>
      <c r="H477" s="29">
        <v>1.43</v>
      </c>
      <c r="I477" s="29">
        <v>206.33</v>
      </c>
      <c r="J477" s="8">
        <f>IF(OR(A477="",I477=""),"",IF(SUMIFS($I$8:$I$657,$A$8:$A$657,A477)=0,"",I477*SUMIFS('Facturas y gastos'!$D$10:$D$13,'Facturas y gastos'!$A$10:$A$13,A477)/SUMIFS($I$8:$I$657,$A$8:$A$657,A477)))</f>
        <v>206.3300450825833</v>
      </c>
      <c r="K477" s="8">
        <f>IF(J477="","",IF(SUMIFS('Facturas y gastos'!$D$10:$D$13,'Facturas y gastos'!$A$10:$A$13,A477)=0,"",J477*SUMIFS('Facturas y gastos'!$G$10:$G$13,'Facturas y gastos'!$A$10:$A$13,A477)/SUMIFS('Facturas y gastos'!$D$10:$D$13,'Facturas y gastos'!$A$10:$A$13,A477)))</f>
        <v>2.0632945900900035</v>
      </c>
      <c r="L477" s="8">
        <f>IF(J477="","",IF(SUMIFS('Facturas y gastos'!$D$10:$D$13,'Facturas y gastos'!$A$10:$A$13,A477)=0,"",J477*SUMIFS('Facturas y gastos'!$H$10:$H$13,'Facturas y gastos'!$A$10:$A$13,A477)/SUMIFS('Facturas y gastos'!$D$10:$D$13,'Facturas y gastos'!$A$10:$A$13,A477)))</f>
        <v>6.1898837702700105</v>
      </c>
      <c r="M477" s="8">
        <f>IF(J477="","",IF(SUMIFS('Facturas y gastos'!$D$10:$D$13,'Facturas y gastos'!$A$10:$A$13,A477)=0,"",J477*SUMIFS('Facturas y gastos'!$I$10:$I$13,'Facturas y gastos'!$A$10:$A$13,A477)/SUMIFS('Facturas y gastos'!$D$10:$D$13,'Facturas y gastos'!$A$10:$A$13,A477)))</f>
        <v>35.615240810433342</v>
      </c>
      <c r="N477" s="8">
        <f>IF(J477="","",IF(SUMIFS('Facturas y gastos'!$D$10:$D$13,'Facturas y gastos'!$A$10:$A$13,A477)=0,"",J477*SUMIFS('Facturas y gastos'!$J$10:$J$13,'Facturas y gastos'!$A$10:$A$13,A477)/SUMIFS('Facturas y gastos'!$D$10:$D$13,'Facturas y gastos'!$A$10:$A$13,A477)))</f>
        <v>0</v>
      </c>
      <c r="O477" s="8">
        <f t="shared" si="14"/>
        <v>246.07187507319662</v>
      </c>
      <c r="P477" s="8" t="str">
        <f>IF(OR(O477="",'Facturas y gastos'!$B$24="",'Facturas y gastos'!$B$45&lt;&gt;"OK",SUM($O$8:$O$657)=0),"",O477*'Facturas y gastos'!$B$43/SUM($O$8:$O$657))</f>
        <v/>
      </c>
      <c r="Q477" s="8" t="str">
        <f>IF(OR(O477="",'Facturas y gastos'!$B$5="",P477=""),"",O477*'Facturas y gastos'!$B$5+P477)</f>
        <v/>
      </c>
      <c r="R477" s="8" t="str">
        <f t="shared" si="15"/>
        <v/>
      </c>
    </row>
    <row r="478" spans="1:18">
      <c r="A478" s="25" t="s">
        <v>62</v>
      </c>
      <c r="B478" s="25">
        <v>93</v>
      </c>
      <c r="C478" s="25" t="s">
        <v>646</v>
      </c>
      <c r="D478" s="25" t="s">
        <v>627</v>
      </c>
      <c r="E478" s="25" t="s">
        <v>108</v>
      </c>
      <c r="F478" s="27">
        <v>144</v>
      </c>
      <c r="G478" s="27">
        <v>1</v>
      </c>
      <c r="H478" s="29">
        <v>1.43</v>
      </c>
      <c r="I478" s="29">
        <v>206.33</v>
      </c>
      <c r="J478" s="8">
        <f>IF(OR(A478="",I478=""),"",IF(SUMIFS($I$8:$I$657,$A$8:$A$657,A478)=0,"",I478*SUMIFS('Facturas y gastos'!$D$10:$D$13,'Facturas y gastos'!$A$10:$A$13,A478)/SUMIFS($I$8:$I$657,$A$8:$A$657,A478)))</f>
        <v>206.3300450825833</v>
      </c>
      <c r="K478" s="8">
        <f>IF(J478="","",IF(SUMIFS('Facturas y gastos'!$D$10:$D$13,'Facturas y gastos'!$A$10:$A$13,A478)=0,"",J478*SUMIFS('Facturas y gastos'!$G$10:$G$13,'Facturas y gastos'!$A$10:$A$13,A478)/SUMIFS('Facturas y gastos'!$D$10:$D$13,'Facturas y gastos'!$A$10:$A$13,A478)))</f>
        <v>2.0632945900900035</v>
      </c>
      <c r="L478" s="8">
        <f>IF(J478="","",IF(SUMIFS('Facturas y gastos'!$D$10:$D$13,'Facturas y gastos'!$A$10:$A$13,A478)=0,"",J478*SUMIFS('Facturas y gastos'!$H$10:$H$13,'Facturas y gastos'!$A$10:$A$13,A478)/SUMIFS('Facturas y gastos'!$D$10:$D$13,'Facturas y gastos'!$A$10:$A$13,A478)))</f>
        <v>6.1898837702700105</v>
      </c>
      <c r="M478" s="8">
        <f>IF(J478="","",IF(SUMIFS('Facturas y gastos'!$D$10:$D$13,'Facturas y gastos'!$A$10:$A$13,A478)=0,"",J478*SUMIFS('Facturas y gastos'!$I$10:$I$13,'Facturas y gastos'!$A$10:$A$13,A478)/SUMIFS('Facturas y gastos'!$D$10:$D$13,'Facturas y gastos'!$A$10:$A$13,A478)))</f>
        <v>35.615240810433342</v>
      </c>
      <c r="N478" s="8">
        <f>IF(J478="","",IF(SUMIFS('Facturas y gastos'!$D$10:$D$13,'Facturas y gastos'!$A$10:$A$13,A478)=0,"",J478*SUMIFS('Facturas y gastos'!$J$10:$J$13,'Facturas y gastos'!$A$10:$A$13,A478)/SUMIFS('Facturas y gastos'!$D$10:$D$13,'Facturas y gastos'!$A$10:$A$13,A478)))</f>
        <v>0</v>
      </c>
      <c r="O478" s="8">
        <f t="shared" si="14"/>
        <v>246.07187507319662</v>
      </c>
      <c r="P478" s="8" t="str">
        <f>IF(OR(O478="",'Facturas y gastos'!$B$24="",'Facturas y gastos'!$B$45&lt;&gt;"OK",SUM($O$8:$O$657)=0),"",O478*'Facturas y gastos'!$B$43/SUM($O$8:$O$657))</f>
        <v/>
      </c>
      <c r="Q478" s="8" t="str">
        <f>IF(OR(O478="",'Facturas y gastos'!$B$5="",P478=""),"",O478*'Facturas y gastos'!$B$5+P478)</f>
        <v/>
      </c>
      <c r="R478" s="8" t="str">
        <f t="shared" si="15"/>
        <v/>
      </c>
    </row>
    <row r="479" spans="1:18">
      <c r="A479" s="25" t="s">
        <v>62</v>
      </c>
      <c r="B479" s="25">
        <v>94</v>
      </c>
      <c r="C479" s="25" t="s">
        <v>647</v>
      </c>
      <c r="D479" s="25" t="s">
        <v>627</v>
      </c>
      <c r="E479" s="25" t="s">
        <v>108</v>
      </c>
      <c r="F479" s="27">
        <v>144</v>
      </c>
      <c r="G479" s="27">
        <v>1</v>
      </c>
      <c r="H479" s="29">
        <v>1.43</v>
      </c>
      <c r="I479" s="29">
        <v>206.33</v>
      </c>
      <c r="J479" s="8">
        <f>IF(OR(A479="",I479=""),"",IF(SUMIFS($I$8:$I$657,$A$8:$A$657,A479)=0,"",I479*SUMIFS('Facturas y gastos'!$D$10:$D$13,'Facturas y gastos'!$A$10:$A$13,A479)/SUMIFS($I$8:$I$657,$A$8:$A$657,A479)))</f>
        <v>206.3300450825833</v>
      </c>
      <c r="K479" s="8">
        <f>IF(J479="","",IF(SUMIFS('Facturas y gastos'!$D$10:$D$13,'Facturas y gastos'!$A$10:$A$13,A479)=0,"",J479*SUMIFS('Facturas y gastos'!$G$10:$G$13,'Facturas y gastos'!$A$10:$A$13,A479)/SUMIFS('Facturas y gastos'!$D$10:$D$13,'Facturas y gastos'!$A$10:$A$13,A479)))</f>
        <v>2.0632945900900035</v>
      </c>
      <c r="L479" s="8">
        <f>IF(J479="","",IF(SUMIFS('Facturas y gastos'!$D$10:$D$13,'Facturas y gastos'!$A$10:$A$13,A479)=0,"",J479*SUMIFS('Facturas y gastos'!$H$10:$H$13,'Facturas y gastos'!$A$10:$A$13,A479)/SUMIFS('Facturas y gastos'!$D$10:$D$13,'Facturas y gastos'!$A$10:$A$13,A479)))</f>
        <v>6.1898837702700105</v>
      </c>
      <c r="M479" s="8">
        <f>IF(J479="","",IF(SUMIFS('Facturas y gastos'!$D$10:$D$13,'Facturas y gastos'!$A$10:$A$13,A479)=0,"",J479*SUMIFS('Facturas y gastos'!$I$10:$I$13,'Facturas y gastos'!$A$10:$A$13,A479)/SUMIFS('Facturas y gastos'!$D$10:$D$13,'Facturas y gastos'!$A$10:$A$13,A479)))</f>
        <v>35.615240810433342</v>
      </c>
      <c r="N479" s="8">
        <f>IF(J479="","",IF(SUMIFS('Facturas y gastos'!$D$10:$D$13,'Facturas y gastos'!$A$10:$A$13,A479)=0,"",J479*SUMIFS('Facturas y gastos'!$J$10:$J$13,'Facturas y gastos'!$A$10:$A$13,A479)/SUMIFS('Facturas y gastos'!$D$10:$D$13,'Facturas y gastos'!$A$10:$A$13,A479)))</f>
        <v>0</v>
      </c>
      <c r="O479" s="8">
        <f t="shared" si="14"/>
        <v>246.07187507319662</v>
      </c>
      <c r="P479" s="8" t="str">
        <f>IF(OR(O479="",'Facturas y gastos'!$B$24="",'Facturas y gastos'!$B$45&lt;&gt;"OK",SUM($O$8:$O$657)=0),"",O479*'Facturas y gastos'!$B$43/SUM($O$8:$O$657))</f>
        <v/>
      </c>
      <c r="Q479" s="8" t="str">
        <f>IF(OR(O479="",'Facturas y gastos'!$B$5="",P479=""),"",O479*'Facturas y gastos'!$B$5+P479)</f>
        <v/>
      </c>
      <c r="R479" s="8" t="str">
        <f t="shared" si="15"/>
        <v/>
      </c>
    </row>
    <row r="480" spans="1:18">
      <c r="A480" s="25" t="s">
        <v>62</v>
      </c>
      <c r="B480" s="25">
        <v>95</v>
      </c>
      <c r="C480" s="25" t="s">
        <v>648</v>
      </c>
      <c r="D480" s="25" t="s">
        <v>627</v>
      </c>
      <c r="E480" s="25" t="s">
        <v>108</v>
      </c>
      <c r="F480" s="27">
        <v>144</v>
      </c>
      <c r="G480" s="27">
        <v>1</v>
      </c>
      <c r="H480" s="29">
        <v>1.43</v>
      </c>
      <c r="I480" s="29">
        <v>206.33</v>
      </c>
      <c r="J480" s="8">
        <f>IF(OR(A480="",I480=""),"",IF(SUMIFS($I$8:$I$657,$A$8:$A$657,A480)=0,"",I480*SUMIFS('Facturas y gastos'!$D$10:$D$13,'Facturas y gastos'!$A$10:$A$13,A480)/SUMIFS($I$8:$I$657,$A$8:$A$657,A480)))</f>
        <v>206.3300450825833</v>
      </c>
      <c r="K480" s="8">
        <f>IF(J480="","",IF(SUMIFS('Facturas y gastos'!$D$10:$D$13,'Facturas y gastos'!$A$10:$A$13,A480)=0,"",J480*SUMIFS('Facturas y gastos'!$G$10:$G$13,'Facturas y gastos'!$A$10:$A$13,A480)/SUMIFS('Facturas y gastos'!$D$10:$D$13,'Facturas y gastos'!$A$10:$A$13,A480)))</f>
        <v>2.0632945900900035</v>
      </c>
      <c r="L480" s="8">
        <f>IF(J480="","",IF(SUMIFS('Facturas y gastos'!$D$10:$D$13,'Facturas y gastos'!$A$10:$A$13,A480)=0,"",J480*SUMIFS('Facturas y gastos'!$H$10:$H$13,'Facturas y gastos'!$A$10:$A$13,A480)/SUMIFS('Facturas y gastos'!$D$10:$D$13,'Facturas y gastos'!$A$10:$A$13,A480)))</f>
        <v>6.1898837702700105</v>
      </c>
      <c r="M480" s="8">
        <f>IF(J480="","",IF(SUMIFS('Facturas y gastos'!$D$10:$D$13,'Facturas y gastos'!$A$10:$A$13,A480)=0,"",J480*SUMIFS('Facturas y gastos'!$I$10:$I$13,'Facturas y gastos'!$A$10:$A$13,A480)/SUMIFS('Facturas y gastos'!$D$10:$D$13,'Facturas y gastos'!$A$10:$A$13,A480)))</f>
        <v>35.615240810433342</v>
      </c>
      <c r="N480" s="8">
        <f>IF(J480="","",IF(SUMIFS('Facturas y gastos'!$D$10:$D$13,'Facturas y gastos'!$A$10:$A$13,A480)=0,"",J480*SUMIFS('Facturas y gastos'!$J$10:$J$13,'Facturas y gastos'!$A$10:$A$13,A480)/SUMIFS('Facturas y gastos'!$D$10:$D$13,'Facturas y gastos'!$A$10:$A$13,A480)))</f>
        <v>0</v>
      </c>
      <c r="O480" s="8">
        <f t="shared" si="14"/>
        <v>246.07187507319662</v>
      </c>
      <c r="P480" s="8" t="str">
        <f>IF(OR(O480="",'Facturas y gastos'!$B$24="",'Facturas y gastos'!$B$45&lt;&gt;"OK",SUM($O$8:$O$657)=0),"",O480*'Facturas y gastos'!$B$43/SUM($O$8:$O$657))</f>
        <v/>
      </c>
      <c r="Q480" s="8" t="str">
        <f>IF(OR(O480="",'Facturas y gastos'!$B$5="",P480=""),"",O480*'Facturas y gastos'!$B$5+P480)</f>
        <v/>
      </c>
      <c r="R480" s="8" t="str">
        <f t="shared" si="15"/>
        <v/>
      </c>
    </row>
    <row r="481" spans="1:18">
      <c r="A481" s="25" t="s">
        <v>62</v>
      </c>
      <c r="B481" s="25">
        <v>96</v>
      </c>
      <c r="C481" s="25" t="s">
        <v>649</v>
      </c>
      <c r="D481" s="25" t="s">
        <v>627</v>
      </c>
      <c r="E481" s="25" t="s">
        <v>108</v>
      </c>
      <c r="F481" s="27">
        <v>144</v>
      </c>
      <c r="G481" s="27">
        <v>1</v>
      </c>
      <c r="H481" s="29">
        <v>1.43</v>
      </c>
      <c r="I481" s="29">
        <v>206.33</v>
      </c>
      <c r="J481" s="8">
        <f>IF(OR(A481="",I481=""),"",IF(SUMIFS($I$8:$I$657,$A$8:$A$657,A481)=0,"",I481*SUMIFS('Facturas y gastos'!$D$10:$D$13,'Facturas y gastos'!$A$10:$A$13,A481)/SUMIFS($I$8:$I$657,$A$8:$A$657,A481)))</f>
        <v>206.3300450825833</v>
      </c>
      <c r="K481" s="8">
        <f>IF(J481="","",IF(SUMIFS('Facturas y gastos'!$D$10:$D$13,'Facturas y gastos'!$A$10:$A$13,A481)=0,"",J481*SUMIFS('Facturas y gastos'!$G$10:$G$13,'Facturas y gastos'!$A$10:$A$13,A481)/SUMIFS('Facturas y gastos'!$D$10:$D$13,'Facturas y gastos'!$A$10:$A$13,A481)))</f>
        <v>2.0632945900900035</v>
      </c>
      <c r="L481" s="8">
        <f>IF(J481="","",IF(SUMIFS('Facturas y gastos'!$D$10:$D$13,'Facturas y gastos'!$A$10:$A$13,A481)=0,"",J481*SUMIFS('Facturas y gastos'!$H$10:$H$13,'Facturas y gastos'!$A$10:$A$13,A481)/SUMIFS('Facturas y gastos'!$D$10:$D$13,'Facturas y gastos'!$A$10:$A$13,A481)))</f>
        <v>6.1898837702700105</v>
      </c>
      <c r="M481" s="8">
        <f>IF(J481="","",IF(SUMIFS('Facturas y gastos'!$D$10:$D$13,'Facturas y gastos'!$A$10:$A$13,A481)=0,"",J481*SUMIFS('Facturas y gastos'!$I$10:$I$13,'Facturas y gastos'!$A$10:$A$13,A481)/SUMIFS('Facturas y gastos'!$D$10:$D$13,'Facturas y gastos'!$A$10:$A$13,A481)))</f>
        <v>35.615240810433342</v>
      </c>
      <c r="N481" s="8">
        <f>IF(J481="","",IF(SUMIFS('Facturas y gastos'!$D$10:$D$13,'Facturas y gastos'!$A$10:$A$13,A481)=0,"",J481*SUMIFS('Facturas y gastos'!$J$10:$J$13,'Facturas y gastos'!$A$10:$A$13,A481)/SUMIFS('Facturas y gastos'!$D$10:$D$13,'Facturas y gastos'!$A$10:$A$13,A481)))</f>
        <v>0</v>
      </c>
      <c r="O481" s="8">
        <f t="shared" si="14"/>
        <v>246.07187507319662</v>
      </c>
      <c r="P481" s="8" t="str">
        <f>IF(OR(O481="",'Facturas y gastos'!$B$24="",'Facturas y gastos'!$B$45&lt;&gt;"OK",SUM($O$8:$O$657)=0),"",O481*'Facturas y gastos'!$B$43/SUM($O$8:$O$657))</f>
        <v/>
      </c>
      <c r="Q481" s="8" t="str">
        <f>IF(OR(O481="",'Facturas y gastos'!$B$5="",P481=""),"",O481*'Facturas y gastos'!$B$5+P481)</f>
        <v/>
      </c>
      <c r="R481" s="8" t="str">
        <f t="shared" si="15"/>
        <v/>
      </c>
    </row>
    <row r="482" spans="1:18">
      <c r="A482" s="25" t="s">
        <v>62</v>
      </c>
      <c r="B482" s="25">
        <v>97</v>
      </c>
      <c r="C482" s="25" t="s">
        <v>650</v>
      </c>
      <c r="D482" s="25" t="s">
        <v>651</v>
      </c>
      <c r="E482" s="25" t="s">
        <v>108</v>
      </c>
      <c r="F482" s="27">
        <v>180</v>
      </c>
      <c r="G482" s="27">
        <v>5</v>
      </c>
      <c r="H482" s="29">
        <v>1.87</v>
      </c>
      <c r="I482" s="29">
        <v>335.82</v>
      </c>
      <c r="J482" s="8">
        <f>IF(OR(A482="",I482=""),"",IF(SUMIFS($I$8:$I$657,$A$8:$A$657,A482)=0,"",I482*SUMIFS('Facturas y gastos'!$D$10:$D$13,'Facturas y gastos'!$A$10:$A$13,A482)/SUMIFS($I$8:$I$657,$A$8:$A$657,A482)))</f>
        <v>335.82007337582081</v>
      </c>
      <c r="K482" s="8">
        <f>IF(J482="","",IF(SUMIFS('Facturas y gastos'!$D$10:$D$13,'Facturas y gastos'!$A$10:$A$13,A482)=0,"",J482*SUMIFS('Facturas y gastos'!$G$10:$G$13,'Facturas y gastos'!$A$10:$A$13,A482)/SUMIFS('Facturas y gastos'!$D$10:$D$13,'Facturas y gastos'!$A$10:$A$13,A482)))</f>
        <v>3.3581911949014924</v>
      </c>
      <c r="L482" s="8">
        <f>IF(J482="","",IF(SUMIFS('Facturas y gastos'!$D$10:$D$13,'Facturas y gastos'!$A$10:$A$13,A482)=0,"",J482*SUMIFS('Facturas y gastos'!$H$10:$H$13,'Facturas y gastos'!$A$10:$A$13,A482)/SUMIFS('Facturas y gastos'!$D$10:$D$13,'Facturas y gastos'!$A$10:$A$13,A482)))</f>
        <v>10.074573584704476</v>
      </c>
      <c r="M482" s="8">
        <f>IF(J482="","",IF(SUMIFS('Facturas y gastos'!$D$10:$D$13,'Facturas y gastos'!$A$10:$A$13,A482)=0,"",J482*SUMIFS('Facturas y gastos'!$I$10:$I$13,'Facturas y gastos'!$A$10:$A$13,A482)/SUMIFS('Facturas y gastos'!$D$10:$D$13,'Facturas y gastos'!$A$10:$A$13,A482)))</f>
        <v>57.966898507050459</v>
      </c>
      <c r="N482" s="8">
        <f>IF(J482="","",IF(SUMIFS('Facturas y gastos'!$D$10:$D$13,'Facturas y gastos'!$A$10:$A$13,A482)=0,"",J482*SUMIFS('Facturas y gastos'!$J$10:$J$13,'Facturas y gastos'!$A$10:$A$13,A482)/SUMIFS('Facturas y gastos'!$D$10:$D$13,'Facturas y gastos'!$A$10:$A$13,A482)))</f>
        <v>0</v>
      </c>
      <c r="O482" s="8">
        <f t="shared" si="14"/>
        <v>400.50335427267424</v>
      </c>
      <c r="P482" s="8" t="str">
        <f>IF(OR(O482="",'Facturas y gastos'!$B$24="",'Facturas y gastos'!$B$45&lt;&gt;"OK",SUM($O$8:$O$657)=0),"",O482*'Facturas y gastos'!$B$43/SUM($O$8:$O$657))</f>
        <v/>
      </c>
      <c r="Q482" s="8" t="str">
        <f>IF(OR(O482="",'Facturas y gastos'!$B$5="",P482=""),"",O482*'Facturas y gastos'!$B$5+P482)</f>
        <v/>
      </c>
      <c r="R482" s="8" t="str">
        <f t="shared" si="15"/>
        <v/>
      </c>
    </row>
    <row r="483" spans="1:18">
      <c r="A483" s="25" t="s">
        <v>62</v>
      </c>
      <c r="B483" s="25">
        <v>98</v>
      </c>
      <c r="C483" s="25" t="s">
        <v>652</v>
      </c>
      <c r="D483" s="25" t="s">
        <v>651</v>
      </c>
      <c r="E483" s="25" t="s">
        <v>108</v>
      </c>
      <c r="F483" s="27">
        <v>180</v>
      </c>
      <c r="G483" s="27">
        <v>5</v>
      </c>
      <c r="H483" s="29">
        <v>1.87</v>
      </c>
      <c r="I483" s="29">
        <v>335.82</v>
      </c>
      <c r="J483" s="8">
        <f>IF(OR(A483="",I483=""),"",IF(SUMIFS($I$8:$I$657,$A$8:$A$657,A483)=0,"",I483*SUMIFS('Facturas y gastos'!$D$10:$D$13,'Facturas y gastos'!$A$10:$A$13,A483)/SUMIFS($I$8:$I$657,$A$8:$A$657,A483)))</f>
        <v>335.82007337582081</v>
      </c>
      <c r="K483" s="8">
        <f>IF(J483="","",IF(SUMIFS('Facturas y gastos'!$D$10:$D$13,'Facturas y gastos'!$A$10:$A$13,A483)=0,"",J483*SUMIFS('Facturas y gastos'!$G$10:$G$13,'Facturas y gastos'!$A$10:$A$13,A483)/SUMIFS('Facturas y gastos'!$D$10:$D$13,'Facturas y gastos'!$A$10:$A$13,A483)))</f>
        <v>3.3581911949014924</v>
      </c>
      <c r="L483" s="8">
        <f>IF(J483="","",IF(SUMIFS('Facturas y gastos'!$D$10:$D$13,'Facturas y gastos'!$A$10:$A$13,A483)=0,"",J483*SUMIFS('Facturas y gastos'!$H$10:$H$13,'Facturas y gastos'!$A$10:$A$13,A483)/SUMIFS('Facturas y gastos'!$D$10:$D$13,'Facturas y gastos'!$A$10:$A$13,A483)))</f>
        <v>10.074573584704476</v>
      </c>
      <c r="M483" s="8">
        <f>IF(J483="","",IF(SUMIFS('Facturas y gastos'!$D$10:$D$13,'Facturas y gastos'!$A$10:$A$13,A483)=0,"",J483*SUMIFS('Facturas y gastos'!$I$10:$I$13,'Facturas y gastos'!$A$10:$A$13,A483)/SUMIFS('Facturas y gastos'!$D$10:$D$13,'Facturas y gastos'!$A$10:$A$13,A483)))</f>
        <v>57.966898507050459</v>
      </c>
      <c r="N483" s="8">
        <f>IF(J483="","",IF(SUMIFS('Facturas y gastos'!$D$10:$D$13,'Facturas y gastos'!$A$10:$A$13,A483)=0,"",J483*SUMIFS('Facturas y gastos'!$J$10:$J$13,'Facturas y gastos'!$A$10:$A$13,A483)/SUMIFS('Facturas y gastos'!$D$10:$D$13,'Facturas y gastos'!$A$10:$A$13,A483)))</f>
        <v>0</v>
      </c>
      <c r="O483" s="8">
        <f t="shared" si="14"/>
        <v>400.50335427267424</v>
      </c>
      <c r="P483" s="8" t="str">
        <f>IF(OR(O483="",'Facturas y gastos'!$B$24="",'Facturas y gastos'!$B$45&lt;&gt;"OK",SUM($O$8:$O$657)=0),"",O483*'Facturas y gastos'!$B$43/SUM($O$8:$O$657))</f>
        <v/>
      </c>
      <c r="Q483" s="8" t="str">
        <f>IF(OR(O483="",'Facturas y gastos'!$B$5="",P483=""),"",O483*'Facturas y gastos'!$B$5+P483)</f>
        <v/>
      </c>
      <c r="R483" s="8" t="str">
        <f t="shared" si="15"/>
        <v/>
      </c>
    </row>
    <row r="484" spans="1:18">
      <c r="A484" s="25" t="s">
        <v>62</v>
      </c>
      <c r="B484" s="25">
        <v>99</v>
      </c>
      <c r="C484" s="25" t="s">
        <v>653</v>
      </c>
      <c r="D484" s="25" t="s">
        <v>651</v>
      </c>
      <c r="E484" s="25" t="s">
        <v>108</v>
      </c>
      <c r="F484" s="27">
        <v>180</v>
      </c>
      <c r="G484" s="27">
        <v>5</v>
      </c>
      <c r="H484" s="29">
        <v>1.87</v>
      </c>
      <c r="I484" s="29">
        <v>335.82</v>
      </c>
      <c r="J484" s="8">
        <f>IF(OR(A484="",I484=""),"",IF(SUMIFS($I$8:$I$657,$A$8:$A$657,A484)=0,"",I484*SUMIFS('Facturas y gastos'!$D$10:$D$13,'Facturas y gastos'!$A$10:$A$13,A484)/SUMIFS($I$8:$I$657,$A$8:$A$657,A484)))</f>
        <v>335.82007337582081</v>
      </c>
      <c r="K484" s="8">
        <f>IF(J484="","",IF(SUMIFS('Facturas y gastos'!$D$10:$D$13,'Facturas y gastos'!$A$10:$A$13,A484)=0,"",J484*SUMIFS('Facturas y gastos'!$G$10:$G$13,'Facturas y gastos'!$A$10:$A$13,A484)/SUMIFS('Facturas y gastos'!$D$10:$D$13,'Facturas y gastos'!$A$10:$A$13,A484)))</f>
        <v>3.3581911949014924</v>
      </c>
      <c r="L484" s="8">
        <f>IF(J484="","",IF(SUMIFS('Facturas y gastos'!$D$10:$D$13,'Facturas y gastos'!$A$10:$A$13,A484)=0,"",J484*SUMIFS('Facturas y gastos'!$H$10:$H$13,'Facturas y gastos'!$A$10:$A$13,A484)/SUMIFS('Facturas y gastos'!$D$10:$D$13,'Facturas y gastos'!$A$10:$A$13,A484)))</f>
        <v>10.074573584704476</v>
      </c>
      <c r="M484" s="8">
        <f>IF(J484="","",IF(SUMIFS('Facturas y gastos'!$D$10:$D$13,'Facturas y gastos'!$A$10:$A$13,A484)=0,"",J484*SUMIFS('Facturas y gastos'!$I$10:$I$13,'Facturas y gastos'!$A$10:$A$13,A484)/SUMIFS('Facturas y gastos'!$D$10:$D$13,'Facturas y gastos'!$A$10:$A$13,A484)))</f>
        <v>57.966898507050459</v>
      </c>
      <c r="N484" s="8">
        <f>IF(J484="","",IF(SUMIFS('Facturas y gastos'!$D$10:$D$13,'Facturas y gastos'!$A$10:$A$13,A484)=0,"",J484*SUMIFS('Facturas y gastos'!$J$10:$J$13,'Facturas y gastos'!$A$10:$A$13,A484)/SUMIFS('Facturas y gastos'!$D$10:$D$13,'Facturas y gastos'!$A$10:$A$13,A484)))</f>
        <v>0</v>
      </c>
      <c r="O484" s="8">
        <f t="shared" si="14"/>
        <v>400.50335427267424</v>
      </c>
      <c r="P484" s="8" t="str">
        <f>IF(OR(O484="",'Facturas y gastos'!$B$24="",'Facturas y gastos'!$B$45&lt;&gt;"OK",SUM($O$8:$O$657)=0),"",O484*'Facturas y gastos'!$B$43/SUM($O$8:$O$657))</f>
        <v/>
      </c>
      <c r="Q484" s="8" t="str">
        <f>IF(OR(O484="",'Facturas y gastos'!$B$5="",P484=""),"",O484*'Facturas y gastos'!$B$5+P484)</f>
        <v/>
      </c>
      <c r="R484" s="8" t="str">
        <f t="shared" si="15"/>
        <v/>
      </c>
    </row>
    <row r="485" spans="1:18">
      <c r="A485" s="25" t="s">
        <v>62</v>
      </c>
      <c r="B485" s="25">
        <v>100</v>
      </c>
      <c r="C485" s="25" t="s">
        <v>654</v>
      </c>
      <c r="D485" s="25" t="s">
        <v>651</v>
      </c>
      <c r="E485" s="25" t="s">
        <v>108</v>
      </c>
      <c r="F485" s="27">
        <v>180</v>
      </c>
      <c r="G485" s="27">
        <v>5</v>
      </c>
      <c r="H485" s="29">
        <v>1.87</v>
      </c>
      <c r="I485" s="29">
        <v>335.82</v>
      </c>
      <c r="J485" s="8">
        <f>IF(OR(A485="",I485=""),"",IF(SUMIFS($I$8:$I$657,$A$8:$A$657,A485)=0,"",I485*SUMIFS('Facturas y gastos'!$D$10:$D$13,'Facturas y gastos'!$A$10:$A$13,A485)/SUMIFS($I$8:$I$657,$A$8:$A$657,A485)))</f>
        <v>335.82007337582081</v>
      </c>
      <c r="K485" s="8">
        <f>IF(J485="","",IF(SUMIFS('Facturas y gastos'!$D$10:$D$13,'Facturas y gastos'!$A$10:$A$13,A485)=0,"",J485*SUMIFS('Facturas y gastos'!$G$10:$G$13,'Facturas y gastos'!$A$10:$A$13,A485)/SUMIFS('Facturas y gastos'!$D$10:$D$13,'Facturas y gastos'!$A$10:$A$13,A485)))</f>
        <v>3.3581911949014924</v>
      </c>
      <c r="L485" s="8">
        <f>IF(J485="","",IF(SUMIFS('Facturas y gastos'!$D$10:$D$13,'Facturas y gastos'!$A$10:$A$13,A485)=0,"",J485*SUMIFS('Facturas y gastos'!$H$10:$H$13,'Facturas y gastos'!$A$10:$A$13,A485)/SUMIFS('Facturas y gastos'!$D$10:$D$13,'Facturas y gastos'!$A$10:$A$13,A485)))</f>
        <v>10.074573584704476</v>
      </c>
      <c r="M485" s="8">
        <f>IF(J485="","",IF(SUMIFS('Facturas y gastos'!$D$10:$D$13,'Facturas y gastos'!$A$10:$A$13,A485)=0,"",J485*SUMIFS('Facturas y gastos'!$I$10:$I$13,'Facturas y gastos'!$A$10:$A$13,A485)/SUMIFS('Facturas y gastos'!$D$10:$D$13,'Facturas y gastos'!$A$10:$A$13,A485)))</f>
        <v>57.966898507050459</v>
      </c>
      <c r="N485" s="8">
        <f>IF(J485="","",IF(SUMIFS('Facturas y gastos'!$D$10:$D$13,'Facturas y gastos'!$A$10:$A$13,A485)=0,"",J485*SUMIFS('Facturas y gastos'!$J$10:$J$13,'Facturas y gastos'!$A$10:$A$13,A485)/SUMIFS('Facturas y gastos'!$D$10:$D$13,'Facturas y gastos'!$A$10:$A$13,A485)))</f>
        <v>0</v>
      </c>
      <c r="O485" s="8">
        <f t="shared" si="14"/>
        <v>400.50335427267424</v>
      </c>
      <c r="P485" s="8" t="str">
        <f>IF(OR(O485="",'Facturas y gastos'!$B$24="",'Facturas y gastos'!$B$45&lt;&gt;"OK",SUM($O$8:$O$657)=0),"",O485*'Facturas y gastos'!$B$43/SUM($O$8:$O$657))</f>
        <v/>
      </c>
      <c r="Q485" s="8" t="str">
        <f>IF(OR(O485="",'Facturas y gastos'!$B$5="",P485=""),"",O485*'Facturas y gastos'!$B$5+P485)</f>
        <v/>
      </c>
      <c r="R485" s="8" t="str">
        <f t="shared" si="15"/>
        <v/>
      </c>
    </row>
    <row r="486" spans="1:18">
      <c r="A486" s="25" t="s">
        <v>62</v>
      </c>
      <c r="B486" s="25">
        <v>101</v>
      </c>
      <c r="C486" s="25" t="s">
        <v>655</v>
      </c>
      <c r="D486" s="25" t="s">
        <v>651</v>
      </c>
      <c r="E486" s="25" t="s">
        <v>108</v>
      </c>
      <c r="F486" s="27">
        <v>180</v>
      </c>
      <c r="G486" s="27">
        <v>5</v>
      </c>
      <c r="H486" s="29">
        <v>1.87</v>
      </c>
      <c r="I486" s="29">
        <v>335.82</v>
      </c>
      <c r="J486" s="8">
        <f>IF(OR(A486="",I486=""),"",IF(SUMIFS($I$8:$I$657,$A$8:$A$657,A486)=0,"",I486*SUMIFS('Facturas y gastos'!$D$10:$D$13,'Facturas y gastos'!$A$10:$A$13,A486)/SUMIFS($I$8:$I$657,$A$8:$A$657,A486)))</f>
        <v>335.82007337582081</v>
      </c>
      <c r="K486" s="8">
        <f>IF(J486="","",IF(SUMIFS('Facturas y gastos'!$D$10:$D$13,'Facturas y gastos'!$A$10:$A$13,A486)=0,"",J486*SUMIFS('Facturas y gastos'!$G$10:$G$13,'Facturas y gastos'!$A$10:$A$13,A486)/SUMIFS('Facturas y gastos'!$D$10:$D$13,'Facturas y gastos'!$A$10:$A$13,A486)))</f>
        <v>3.3581911949014924</v>
      </c>
      <c r="L486" s="8">
        <f>IF(J486="","",IF(SUMIFS('Facturas y gastos'!$D$10:$D$13,'Facturas y gastos'!$A$10:$A$13,A486)=0,"",J486*SUMIFS('Facturas y gastos'!$H$10:$H$13,'Facturas y gastos'!$A$10:$A$13,A486)/SUMIFS('Facturas y gastos'!$D$10:$D$13,'Facturas y gastos'!$A$10:$A$13,A486)))</f>
        <v>10.074573584704476</v>
      </c>
      <c r="M486" s="8">
        <f>IF(J486="","",IF(SUMIFS('Facturas y gastos'!$D$10:$D$13,'Facturas y gastos'!$A$10:$A$13,A486)=0,"",J486*SUMIFS('Facturas y gastos'!$I$10:$I$13,'Facturas y gastos'!$A$10:$A$13,A486)/SUMIFS('Facturas y gastos'!$D$10:$D$13,'Facturas y gastos'!$A$10:$A$13,A486)))</f>
        <v>57.966898507050459</v>
      </c>
      <c r="N486" s="8">
        <f>IF(J486="","",IF(SUMIFS('Facturas y gastos'!$D$10:$D$13,'Facturas y gastos'!$A$10:$A$13,A486)=0,"",J486*SUMIFS('Facturas y gastos'!$J$10:$J$13,'Facturas y gastos'!$A$10:$A$13,A486)/SUMIFS('Facturas y gastos'!$D$10:$D$13,'Facturas y gastos'!$A$10:$A$13,A486)))</f>
        <v>0</v>
      </c>
      <c r="O486" s="8">
        <f t="shared" si="14"/>
        <v>400.50335427267424</v>
      </c>
      <c r="P486" s="8" t="str">
        <f>IF(OR(O486="",'Facturas y gastos'!$B$24="",'Facturas y gastos'!$B$45&lt;&gt;"OK",SUM($O$8:$O$657)=0),"",O486*'Facturas y gastos'!$B$43/SUM($O$8:$O$657))</f>
        <v/>
      </c>
      <c r="Q486" s="8" t="str">
        <f>IF(OR(O486="",'Facturas y gastos'!$B$5="",P486=""),"",O486*'Facturas y gastos'!$B$5+P486)</f>
        <v/>
      </c>
      <c r="R486" s="8" t="str">
        <f t="shared" si="15"/>
        <v/>
      </c>
    </row>
    <row r="487" spans="1:18">
      <c r="A487" s="25" t="s">
        <v>62</v>
      </c>
      <c r="B487" s="25">
        <v>102</v>
      </c>
      <c r="C487" s="25" t="s">
        <v>656</v>
      </c>
      <c r="D487" s="25" t="s">
        <v>651</v>
      </c>
      <c r="E487" s="25" t="s">
        <v>108</v>
      </c>
      <c r="F487" s="27">
        <v>180</v>
      </c>
      <c r="G487" s="27">
        <v>5</v>
      </c>
      <c r="H487" s="29">
        <v>1.64</v>
      </c>
      <c r="I487" s="29">
        <v>295.52</v>
      </c>
      <c r="J487" s="8">
        <f>IF(OR(A487="",I487=""),"",IF(SUMIFS($I$8:$I$657,$A$8:$A$657,A487)=0,"",I487*SUMIFS('Facturas y gastos'!$D$10:$D$13,'Facturas y gastos'!$A$10:$A$13,A487)/SUMIFS($I$8:$I$657,$A$8:$A$657,A487)))</f>
        <v>295.52006457037271</v>
      </c>
      <c r="K487" s="8">
        <f>IF(J487="","",IF(SUMIFS('Facturas y gastos'!$D$10:$D$13,'Facturas y gastos'!$A$10:$A$13,A487)=0,"",J487*SUMIFS('Facturas y gastos'!$G$10:$G$13,'Facturas y gastos'!$A$10:$A$13,A487)/SUMIFS('Facturas y gastos'!$D$10:$D$13,'Facturas y gastos'!$A$10:$A$13,A487)))</f>
        <v>2.9551922515552644</v>
      </c>
      <c r="L487" s="8">
        <f>IF(J487="","",IF(SUMIFS('Facturas y gastos'!$D$10:$D$13,'Facturas y gastos'!$A$10:$A$13,A487)=0,"",J487*SUMIFS('Facturas y gastos'!$H$10:$H$13,'Facturas y gastos'!$A$10:$A$13,A487)/SUMIFS('Facturas y gastos'!$D$10:$D$13,'Facturas y gastos'!$A$10:$A$13,A487)))</f>
        <v>8.8655767546657938</v>
      </c>
      <c r="M487" s="8">
        <f>IF(J487="","",IF(SUMIFS('Facturas y gastos'!$D$10:$D$13,'Facturas y gastos'!$A$10:$A$13,A487)=0,"",J487*SUMIFS('Facturas y gastos'!$I$10:$I$13,'Facturas y gastos'!$A$10:$A$13,A487)/SUMIFS('Facturas y gastos'!$D$10:$D$13,'Facturas y gastos'!$A$10:$A$13,A487)))</f>
        <v>51.01059450540037</v>
      </c>
      <c r="N487" s="8">
        <f>IF(J487="","",IF(SUMIFS('Facturas y gastos'!$D$10:$D$13,'Facturas y gastos'!$A$10:$A$13,A487)=0,"",J487*SUMIFS('Facturas y gastos'!$J$10:$J$13,'Facturas y gastos'!$A$10:$A$13,A487)/SUMIFS('Facturas y gastos'!$D$10:$D$13,'Facturas y gastos'!$A$10:$A$13,A487)))</f>
        <v>0</v>
      </c>
      <c r="O487" s="8">
        <f t="shared" si="14"/>
        <v>352.44104357888358</v>
      </c>
      <c r="P487" s="8" t="str">
        <f>IF(OR(O487="",'Facturas y gastos'!$B$24="",'Facturas y gastos'!$B$45&lt;&gt;"OK",SUM($O$8:$O$657)=0),"",O487*'Facturas y gastos'!$B$43/SUM($O$8:$O$657))</f>
        <v/>
      </c>
      <c r="Q487" s="8" t="str">
        <f>IF(OR(O487="",'Facturas y gastos'!$B$5="",P487=""),"",O487*'Facturas y gastos'!$B$5+P487)</f>
        <v/>
      </c>
      <c r="R487" s="8" t="str">
        <f t="shared" si="15"/>
        <v/>
      </c>
    </row>
    <row r="488" spans="1:18">
      <c r="A488" s="25" t="s">
        <v>62</v>
      </c>
      <c r="B488" s="25">
        <v>103</v>
      </c>
      <c r="C488" s="25" t="s">
        <v>657</v>
      </c>
      <c r="D488" s="25" t="s">
        <v>132</v>
      </c>
      <c r="E488" s="25" t="s">
        <v>108</v>
      </c>
      <c r="F488" s="27">
        <v>600</v>
      </c>
      <c r="G488" s="27">
        <v>5</v>
      </c>
      <c r="H488" s="29">
        <v>0.6</v>
      </c>
      <c r="I488" s="29">
        <v>358.21</v>
      </c>
      <c r="J488" s="8">
        <f>IF(OR(A488="",I488=""),"",IF(SUMIFS($I$8:$I$657,$A$8:$A$657,A488)=0,"",I488*SUMIFS('Facturas y gastos'!$D$10:$D$13,'Facturas y gastos'!$A$10:$A$13,A488)/SUMIFS($I$8:$I$657,$A$8:$A$657,A488)))</f>
        <v>358.21007826797921</v>
      </c>
      <c r="K488" s="8">
        <f>IF(J488="","",IF(SUMIFS('Facturas y gastos'!$D$10:$D$13,'Facturas y gastos'!$A$10:$A$13,A488)=0,"",J488*SUMIFS('Facturas y gastos'!$G$10:$G$13,'Facturas y gastos'!$A$10:$A$13,A488)/SUMIFS('Facturas y gastos'!$D$10:$D$13,'Facturas y gastos'!$A$10:$A$13,A488)))</f>
        <v>3.5820906078424857</v>
      </c>
      <c r="L488" s="8">
        <f>IF(J488="","",IF(SUMIFS('Facturas y gastos'!$D$10:$D$13,'Facturas y gastos'!$A$10:$A$13,A488)=0,"",J488*SUMIFS('Facturas y gastos'!$H$10:$H$13,'Facturas y gastos'!$A$10:$A$13,A488)/SUMIFS('Facturas y gastos'!$D$10:$D$13,'Facturas y gastos'!$A$10:$A$13,A488)))</f>
        <v>10.746271823527456</v>
      </c>
      <c r="M488" s="8">
        <f>IF(J488="","",IF(SUMIFS('Facturas y gastos'!$D$10:$D$13,'Facturas y gastos'!$A$10:$A$13,A488)=0,"",J488*SUMIFS('Facturas y gastos'!$I$10:$I$13,'Facturas y gastos'!$A$10:$A$13,A488)/SUMIFS('Facturas y gastos'!$D$10:$D$13,'Facturas y gastos'!$A$10:$A$13,A488)))</f>
        <v>61.831703633525549</v>
      </c>
      <c r="N488" s="8">
        <f>IF(J488="","",IF(SUMIFS('Facturas y gastos'!$D$10:$D$13,'Facturas y gastos'!$A$10:$A$13,A488)=0,"",J488*SUMIFS('Facturas y gastos'!$J$10:$J$13,'Facturas y gastos'!$A$10:$A$13,A488)/SUMIFS('Facturas y gastos'!$D$10:$D$13,'Facturas y gastos'!$A$10:$A$13,A488)))</f>
        <v>0</v>
      </c>
      <c r="O488" s="8">
        <f t="shared" si="14"/>
        <v>427.20596311718975</v>
      </c>
      <c r="P488" s="8" t="str">
        <f>IF(OR(O488="",'Facturas y gastos'!$B$24="",'Facturas y gastos'!$B$45&lt;&gt;"OK",SUM($O$8:$O$657)=0),"",O488*'Facturas y gastos'!$B$43/SUM($O$8:$O$657))</f>
        <v/>
      </c>
      <c r="Q488" s="8" t="str">
        <f>IF(OR(O488="",'Facturas y gastos'!$B$5="",P488=""),"",O488*'Facturas y gastos'!$B$5+P488)</f>
        <v/>
      </c>
      <c r="R488" s="8" t="str">
        <f t="shared" si="15"/>
        <v/>
      </c>
    </row>
    <row r="489" spans="1:18">
      <c r="A489" s="25" t="s">
        <v>62</v>
      </c>
      <c r="B489" s="25">
        <v>104</v>
      </c>
      <c r="C489" s="25" t="s">
        <v>658</v>
      </c>
      <c r="D489" s="25" t="s">
        <v>132</v>
      </c>
      <c r="E489" s="25" t="s">
        <v>108</v>
      </c>
      <c r="F489" s="27">
        <v>540</v>
      </c>
      <c r="G489" s="27">
        <v>6</v>
      </c>
      <c r="H489" s="29">
        <v>0.6</v>
      </c>
      <c r="I489" s="29">
        <v>322.39</v>
      </c>
      <c r="J489" s="8">
        <f>IF(OR(A489="",I489=""),"",IF(SUMIFS($I$8:$I$657,$A$8:$A$657,A489)=0,"",I489*SUMIFS('Facturas y gastos'!$D$10:$D$13,'Facturas y gastos'!$A$10:$A$13,A489)/SUMIFS($I$8:$I$657,$A$8:$A$657,A489)))</f>
        <v>322.39007044139981</v>
      </c>
      <c r="K489" s="8">
        <f>IF(J489="","",IF(SUMIFS('Facturas y gastos'!$D$10:$D$13,'Facturas y gastos'!$A$10:$A$13,A489)=0,"",J489*SUMIFS('Facturas y gastos'!$G$10:$G$13,'Facturas y gastos'!$A$10:$A$13,A489)/SUMIFS('Facturas y gastos'!$D$10:$D$13,'Facturas y gastos'!$A$10:$A$13,A489)))</f>
        <v>3.2238915470320175</v>
      </c>
      <c r="L489" s="8">
        <f>IF(J489="","",IF(SUMIFS('Facturas y gastos'!$D$10:$D$13,'Facturas y gastos'!$A$10:$A$13,A489)=0,"",J489*SUMIFS('Facturas y gastos'!$H$10:$H$13,'Facturas y gastos'!$A$10:$A$13,A489)/SUMIFS('Facturas y gastos'!$D$10:$D$13,'Facturas y gastos'!$A$10:$A$13,A489)))</f>
        <v>9.6716746410960521</v>
      </c>
      <c r="M489" s="8">
        <f>IF(J489="","",IF(SUMIFS('Facturas y gastos'!$D$10:$D$13,'Facturas y gastos'!$A$10:$A$13,A489)=0,"",J489*SUMIFS('Facturas y gastos'!$I$10:$I$13,'Facturas y gastos'!$A$10:$A$13,A489)/SUMIFS('Facturas y gastos'!$D$10:$D$13,'Facturas y gastos'!$A$10:$A$13,A489)))</f>
        <v>55.648705883175523</v>
      </c>
      <c r="N489" s="8">
        <f>IF(J489="","",IF(SUMIFS('Facturas y gastos'!$D$10:$D$13,'Facturas y gastos'!$A$10:$A$13,A489)=0,"",J489*SUMIFS('Facturas y gastos'!$J$10:$J$13,'Facturas y gastos'!$A$10:$A$13,A489)/SUMIFS('Facturas y gastos'!$D$10:$D$13,'Facturas y gastos'!$A$10:$A$13,A489)))</f>
        <v>0</v>
      </c>
      <c r="O489" s="8">
        <f t="shared" si="14"/>
        <v>384.48655941863939</v>
      </c>
      <c r="P489" s="8" t="str">
        <f>IF(OR(O489="",'Facturas y gastos'!$B$24="",'Facturas y gastos'!$B$45&lt;&gt;"OK",SUM($O$8:$O$657)=0),"",O489*'Facturas y gastos'!$B$43/SUM($O$8:$O$657))</f>
        <v/>
      </c>
      <c r="Q489" s="8" t="str">
        <f>IF(OR(O489="",'Facturas y gastos'!$B$5="",P489=""),"",O489*'Facturas y gastos'!$B$5+P489)</f>
        <v/>
      </c>
      <c r="R489" s="8" t="str">
        <f t="shared" si="15"/>
        <v/>
      </c>
    </row>
    <row r="490" spans="1:18">
      <c r="A490" s="25" t="s">
        <v>62</v>
      </c>
      <c r="B490" s="25">
        <v>105</v>
      </c>
      <c r="C490" s="25" t="s">
        <v>659</v>
      </c>
      <c r="D490" s="25" t="s">
        <v>132</v>
      </c>
      <c r="E490" s="25" t="s">
        <v>108</v>
      </c>
      <c r="F490" s="27">
        <v>600</v>
      </c>
      <c r="G490" s="27">
        <v>5</v>
      </c>
      <c r="H490" s="29">
        <v>0.6</v>
      </c>
      <c r="I490" s="29">
        <v>358.21</v>
      </c>
      <c r="J490" s="8">
        <f>IF(OR(A490="",I490=""),"",IF(SUMIFS($I$8:$I$657,$A$8:$A$657,A490)=0,"",I490*SUMIFS('Facturas y gastos'!$D$10:$D$13,'Facturas y gastos'!$A$10:$A$13,A490)/SUMIFS($I$8:$I$657,$A$8:$A$657,A490)))</f>
        <v>358.21007826797921</v>
      </c>
      <c r="K490" s="8">
        <f>IF(J490="","",IF(SUMIFS('Facturas y gastos'!$D$10:$D$13,'Facturas y gastos'!$A$10:$A$13,A490)=0,"",J490*SUMIFS('Facturas y gastos'!$G$10:$G$13,'Facturas y gastos'!$A$10:$A$13,A490)/SUMIFS('Facturas y gastos'!$D$10:$D$13,'Facturas y gastos'!$A$10:$A$13,A490)))</f>
        <v>3.5820906078424857</v>
      </c>
      <c r="L490" s="8">
        <f>IF(J490="","",IF(SUMIFS('Facturas y gastos'!$D$10:$D$13,'Facturas y gastos'!$A$10:$A$13,A490)=0,"",J490*SUMIFS('Facturas y gastos'!$H$10:$H$13,'Facturas y gastos'!$A$10:$A$13,A490)/SUMIFS('Facturas y gastos'!$D$10:$D$13,'Facturas y gastos'!$A$10:$A$13,A490)))</f>
        <v>10.746271823527456</v>
      </c>
      <c r="M490" s="8">
        <f>IF(J490="","",IF(SUMIFS('Facturas y gastos'!$D$10:$D$13,'Facturas y gastos'!$A$10:$A$13,A490)=0,"",J490*SUMIFS('Facturas y gastos'!$I$10:$I$13,'Facturas y gastos'!$A$10:$A$13,A490)/SUMIFS('Facturas y gastos'!$D$10:$D$13,'Facturas y gastos'!$A$10:$A$13,A490)))</f>
        <v>61.831703633525549</v>
      </c>
      <c r="N490" s="8">
        <f>IF(J490="","",IF(SUMIFS('Facturas y gastos'!$D$10:$D$13,'Facturas y gastos'!$A$10:$A$13,A490)=0,"",J490*SUMIFS('Facturas y gastos'!$J$10:$J$13,'Facturas y gastos'!$A$10:$A$13,A490)/SUMIFS('Facturas y gastos'!$D$10:$D$13,'Facturas y gastos'!$A$10:$A$13,A490)))</f>
        <v>0</v>
      </c>
      <c r="O490" s="8">
        <f t="shared" si="14"/>
        <v>427.20596311718975</v>
      </c>
      <c r="P490" s="8" t="str">
        <f>IF(OR(O490="",'Facturas y gastos'!$B$24="",'Facturas y gastos'!$B$45&lt;&gt;"OK",SUM($O$8:$O$657)=0),"",O490*'Facturas y gastos'!$B$43/SUM($O$8:$O$657))</f>
        <v/>
      </c>
      <c r="Q490" s="8" t="str">
        <f>IF(OR(O490="",'Facturas y gastos'!$B$5="",P490=""),"",O490*'Facturas y gastos'!$B$5+P490)</f>
        <v/>
      </c>
      <c r="R490" s="8" t="str">
        <f t="shared" si="15"/>
        <v/>
      </c>
    </row>
    <row r="491" spans="1:18">
      <c r="A491" s="25" t="s">
        <v>62</v>
      </c>
      <c r="B491" s="25">
        <v>106</v>
      </c>
      <c r="C491" s="25" t="s">
        <v>660</v>
      </c>
      <c r="D491" s="25" t="s">
        <v>132</v>
      </c>
      <c r="E491" s="25" t="s">
        <v>108</v>
      </c>
      <c r="F491" s="27">
        <v>1000</v>
      </c>
      <c r="G491" s="27">
        <v>5</v>
      </c>
      <c r="H491" s="29">
        <v>0.37</v>
      </c>
      <c r="I491" s="29">
        <v>373.13</v>
      </c>
      <c r="J491" s="8">
        <f>IF(OR(A491="",I491=""),"",IF(SUMIFS($I$8:$I$657,$A$8:$A$657,A491)=0,"",I491*SUMIFS('Facturas y gastos'!$D$10:$D$13,'Facturas y gastos'!$A$10:$A$13,A491)/SUMIFS($I$8:$I$657,$A$8:$A$657,A491)))</f>
        <v>373.13008152796152</v>
      </c>
      <c r="K491" s="8">
        <f>IF(J491="","",IF(SUMIFS('Facturas y gastos'!$D$10:$D$13,'Facturas y gastos'!$A$10:$A$13,A491)=0,"",J491*SUMIFS('Facturas y gastos'!$G$10:$G$13,'Facturas y gastos'!$A$10:$A$13,A491)/SUMIFS('Facturas y gastos'!$D$10:$D$13,'Facturas y gastos'!$A$10:$A$13,A491)))</f>
        <v>3.7312902166446129</v>
      </c>
      <c r="L491" s="8">
        <f>IF(J491="","",IF(SUMIFS('Facturas y gastos'!$D$10:$D$13,'Facturas y gastos'!$A$10:$A$13,A491)=0,"",J491*SUMIFS('Facturas y gastos'!$H$10:$H$13,'Facturas y gastos'!$A$10:$A$13,A491)/SUMIFS('Facturas y gastos'!$D$10:$D$13,'Facturas y gastos'!$A$10:$A$13,A491)))</f>
        <v>11.193870649933839</v>
      </c>
      <c r="M491" s="8">
        <f>IF(J491="","",IF(SUMIFS('Facturas y gastos'!$D$10:$D$13,'Facturas y gastos'!$A$10:$A$13,A491)=0,"",J491*SUMIFS('Facturas y gastos'!$I$10:$I$13,'Facturas y gastos'!$A$10:$A$13,A491)/SUMIFS('Facturas y gastos'!$D$10:$D$13,'Facturas y gastos'!$A$10:$A$13,A491)))</f>
        <v>64.407089631158783</v>
      </c>
      <c r="N491" s="8">
        <f>IF(J491="","",IF(SUMIFS('Facturas y gastos'!$D$10:$D$13,'Facturas y gastos'!$A$10:$A$13,A491)=0,"",J491*SUMIFS('Facturas y gastos'!$J$10:$J$13,'Facturas y gastos'!$A$10:$A$13,A491)/SUMIFS('Facturas y gastos'!$D$10:$D$13,'Facturas y gastos'!$A$10:$A$13,A491)))</f>
        <v>0</v>
      </c>
      <c r="O491" s="8">
        <f t="shared" si="14"/>
        <v>444.99975159240955</v>
      </c>
      <c r="P491" s="8" t="str">
        <f>IF(OR(O491="",'Facturas y gastos'!$B$24="",'Facturas y gastos'!$B$45&lt;&gt;"OK",SUM($O$8:$O$657)=0),"",O491*'Facturas y gastos'!$B$43/SUM($O$8:$O$657))</f>
        <v/>
      </c>
      <c r="Q491" s="8" t="str">
        <f>IF(OR(O491="",'Facturas y gastos'!$B$5="",P491=""),"",O491*'Facturas y gastos'!$B$5+P491)</f>
        <v/>
      </c>
      <c r="R491" s="8" t="str">
        <f t="shared" si="15"/>
        <v/>
      </c>
    </row>
    <row r="492" spans="1:18">
      <c r="A492" s="25" t="s">
        <v>62</v>
      </c>
      <c r="B492" s="25">
        <v>107</v>
      </c>
      <c r="C492" s="25" t="s">
        <v>661</v>
      </c>
      <c r="D492" s="25" t="s">
        <v>132</v>
      </c>
      <c r="E492" s="25" t="s">
        <v>108</v>
      </c>
      <c r="F492" s="27">
        <v>1000</v>
      </c>
      <c r="G492" s="27">
        <v>5</v>
      </c>
      <c r="H492" s="29">
        <v>0.37</v>
      </c>
      <c r="I492" s="29">
        <v>373.13</v>
      </c>
      <c r="J492" s="8">
        <f>IF(OR(A492="",I492=""),"",IF(SUMIFS($I$8:$I$657,$A$8:$A$657,A492)=0,"",I492*SUMIFS('Facturas y gastos'!$D$10:$D$13,'Facturas y gastos'!$A$10:$A$13,A492)/SUMIFS($I$8:$I$657,$A$8:$A$657,A492)))</f>
        <v>373.13008152796152</v>
      </c>
      <c r="K492" s="8">
        <f>IF(J492="","",IF(SUMIFS('Facturas y gastos'!$D$10:$D$13,'Facturas y gastos'!$A$10:$A$13,A492)=0,"",J492*SUMIFS('Facturas y gastos'!$G$10:$G$13,'Facturas y gastos'!$A$10:$A$13,A492)/SUMIFS('Facturas y gastos'!$D$10:$D$13,'Facturas y gastos'!$A$10:$A$13,A492)))</f>
        <v>3.7312902166446129</v>
      </c>
      <c r="L492" s="8">
        <f>IF(J492="","",IF(SUMIFS('Facturas y gastos'!$D$10:$D$13,'Facturas y gastos'!$A$10:$A$13,A492)=0,"",J492*SUMIFS('Facturas y gastos'!$H$10:$H$13,'Facturas y gastos'!$A$10:$A$13,A492)/SUMIFS('Facturas y gastos'!$D$10:$D$13,'Facturas y gastos'!$A$10:$A$13,A492)))</f>
        <v>11.193870649933839</v>
      </c>
      <c r="M492" s="8">
        <f>IF(J492="","",IF(SUMIFS('Facturas y gastos'!$D$10:$D$13,'Facturas y gastos'!$A$10:$A$13,A492)=0,"",J492*SUMIFS('Facturas y gastos'!$I$10:$I$13,'Facturas y gastos'!$A$10:$A$13,A492)/SUMIFS('Facturas y gastos'!$D$10:$D$13,'Facturas y gastos'!$A$10:$A$13,A492)))</f>
        <v>64.407089631158783</v>
      </c>
      <c r="N492" s="8">
        <f>IF(J492="","",IF(SUMIFS('Facturas y gastos'!$D$10:$D$13,'Facturas y gastos'!$A$10:$A$13,A492)=0,"",J492*SUMIFS('Facturas y gastos'!$J$10:$J$13,'Facturas y gastos'!$A$10:$A$13,A492)/SUMIFS('Facturas y gastos'!$D$10:$D$13,'Facturas y gastos'!$A$10:$A$13,A492)))</f>
        <v>0</v>
      </c>
      <c r="O492" s="8">
        <f t="shared" si="14"/>
        <v>444.99975159240955</v>
      </c>
      <c r="P492" s="8" t="str">
        <f>IF(OR(O492="",'Facturas y gastos'!$B$24="",'Facturas y gastos'!$B$45&lt;&gt;"OK",SUM($O$8:$O$657)=0),"",O492*'Facturas y gastos'!$B$43/SUM($O$8:$O$657))</f>
        <v/>
      </c>
      <c r="Q492" s="8" t="str">
        <f>IF(OR(O492="",'Facturas y gastos'!$B$5="",P492=""),"",O492*'Facturas y gastos'!$B$5+P492)</f>
        <v/>
      </c>
      <c r="R492" s="8" t="str">
        <f t="shared" si="15"/>
        <v/>
      </c>
    </row>
    <row r="493" spans="1:18">
      <c r="A493" s="25" t="s">
        <v>62</v>
      </c>
      <c r="B493" s="25">
        <v>108</v>
      </c>
      <c r="C493" s="25" t="s">
        <v>662</v>
      </c>
      <c r="D493" s="25" t="s">
        <v>663</v>
      </c>
      <c r="E493" s="25" t="s">
        <v>108</v>
      </c>
      <c r="F493" s="27">
        <v>120</v>
      </c>
      <c r="G493" s="27">
        <v>5</v>
      </c>
      <c r="H493" s="29">
        <v>3.58</v>
      </c>
      <c r="I493" s="29">
        <v>429.85</v>
      </c>
      <c r="J493" s="8">
        <f>IF(OR(A493="",I493=""),"",IF(SUMIFS($I$8:$I$657,$A$8:$A$657,A493)=0,"",I493*SUMIFS('Facturas y gastos'!$D$10:$D$13,'Facturas y gastos'!$A$10:$A$13,A493)/SUMIFS($I$8:$I$657,$A$8:$A$657,A493)))</f>
        <v>429.85009392113813</v>
      </c>
      <c r="K493" s="8">
        <f>IF(J493="","",IF(SUMIFS('Facturas y gastos'!$D$10:$D$13,'Facturas y gastos'!$A$10:$A$13,A493)=0,"",J493*SUMIFS('Facturas y gastos'!$G$10:$G$13,'Facturas y gastos'!$A$10:$A$13,A493)/SUMIFS('Facturas y gastos'!$D$10:$D$13,'Facturas y gastos'!$A$10:$A$13,A493)))</f>
        <v>4.2984887294634229</v>
      </c>
      <c r="L493" s="8">
        <f>IF(J493="","",IF(SUMIFS('Facturas y gastos'!$D$10:$D$13,'Facturas y gastos'!$A$10:$A$13,A493)=0,"",J493*SUMIFS('Facturas y gastos'!$H$10:$H$13,'Facturas y gastos'!$A$10:$A$13,A493)/SUMIFS('Facturas y gastos'!$D$10:$D$13,'Facturas y gastos'!$A$10:$A$13,A493)))</f>
        <v>12.895466188390268</v>
      </c>
      <c r="M493" s="8">
        <f>IF(J493="","",IF(SUMIFS('Facturas y gastos'!$D$10:$D$13,'Facturas y gastos'!$A$10:$A$13,A493)=0,"",J493*SUMIFS('Facturas y gastos'!$I$10:$I$13,'Facturas y gastos'!$A$10:$A$13,A493)/SUMIFS('Facturas y gastos'!$D$10:$D$13,'Facturas y gastos'!$A$10:$A$13,A493)))</f>
        <v>74.197699134225616</v>
      </c>
      <c r="N493" s="8">
        <f>IF(J493="","",IF(SUMIFS('Facturas y gastos'!$D$10:$D$13,'Facturas y gastos'!$A$10:$A$13,A493)=0,"",J493*SUMIFS('Facturas y gastos'!$J$10:$J$13,'Facturas y gastos'!$A$10:$A$13,A493)/SUMIFS('Facturas y gastos'!$D$10:$D$13,'Facturas y gastos'!$A$10:$A$13,A493)))</f>
        <v>0</v>
      </c>
      <c r="O493" s="8">
        <f t="shared" si="14"/>
        <v>512.6447705142906</v>
      </c>
      <c r="P493" s="8" t="str">
        <f>IF(OR(O493="",'Facturas y gastos'!$B$24="",'Facturas y gastos'!$B$45&lt;&gt;"OK",SUM($O$8:$O$657)=0),"",O493*'Facturas y gastos'!$B$43/SUM($O$8:$O$657))</f>
        <v/>
      </c>
      <c r="Q493" s="8" t="str">
        <f>IF(OR(O493="",'Facturas y gastos'!$B$5="",P493=""),"",O493*'Facturas y gastos'!$B$5+P493)</f>
        <v/>
      </c>
      <c r="R493" s="8" t="str">
        <f t="shared" si="15"/>
        <v/>
      </c>
    </row>
    <row r="494" spans="1:18">
      <c r="A494" s="25" t="s">
        <v>62</v>
      </c>
      <c r="B494" s="25">
        <v>109</v>
      </c>
      <c r="C494" s="25" t="s">
        <v>664</v>
      </c>
      <c r="D494" s="25" t="s">
        <v>450</v>
      </c>
      <c r="E494" s="25" t="s">
        <v>108</v>
      </c>
      <c r="F494" s="27">
        <v>720</v>
      </c>
      <c r="G494" s="27">
        <v>5</v>
      </c>
      <c r="H494" s="29">
        <v>0.6</v>
      </c>
      <c r="I494" s="29">
        <v>429.85</v>
      </c>
      <c r="J494" s="8">
        <f>IF(OR(A494="",I494=""),"",IF(SUMIFS($I$8:$I$657,$A$8:$A$657,A494)=0,"",I494*SUMIFS('Facturas y gastos'!$D$10:$D$13,'Facturas y gastos'!$A$10:$A$13,A494)/SUMIFS($I$8:$I$657,$A$8:$A$657,A494)))</f>
        <v>429.85009392113813</v>
      </c>
      <c r="K494" s="8">
        <f>IF(J494="","",IF(SUMIFS('Facturas y gastos'!$D$10:$D$13,'Facturas y gastos'!$A$10:$A$13,A494)=0,"",J494*SUMIFS('Facturas y gastos'!$G$10:$G$13,'Facturas y gastos'!$A$10:$A$13,A494)/SUMIFS('Facturas y gastos'!$D$10:$D$13,'Facturas y gastos'!$A$10:$A$13,A494)))</f>
        <v>4.2984887294634229</v>
      </c>
      <c r="L494" s="8">
        <f>IF(J494="","",IF(SUMIFS('Facturas y gastos'!$D$10:$D$13,'Facturas y gastos'!$A$10:$A$13,A494)=0,"",J494*SUMIFS('Facturas y gastos'!$H$10:$H$13,'Facturas y gastos'!$A$10:$A$13,A494)/SUMIFS('Facturas y gastos'!$D$10:$D$13,'Facturas y gastos'!$A$10:$A$13,A494)))</f>
        <v>12.895466188390268</v>
      </c>
      <c r="M494" s="8">
        <f>IF(J494="","",IF(SUMIFS('Facturas y gastos'!$D$10:$D$13,'Facturas y gastos'!$A$10:$A$13,A494)=0,"",J494*SUMIFS('Facturas y gastos'!$I$10:$I$13,'Facturas y gastos'!$A$10:$A$13,A494)/SUMIFS('Facturas y gastos'!$D$10:$D$13,'Facturas y gastos'!$A$10:$A$13,A494)))</f>
        <v>74.197699134225616</v>
      </c>
      <c r="N494" s="8">
        <f>IF(J494="","",IF(SUMIFS('Facturas y gastos'!$D$10:$D$13,'Facturas y gastos'!$A$10:$A$13,A494)=0,"",J494*SUMIFS('Facturas y gastos'!$J$10:$J$13,'Facturas y gastos'!$A$10:$A$13,A494)/SUMIFS('Facturas y gastos'!$D$10:$D$13,'Facturas y gastos'!$A$10:$A$13,A494)))</f>
        <v>0</v>
      </c>
      <c r="O494" s="8">
        <f t="shared" si="14"/>
        <v>512.6447705142906</v>
      </c>
      <c r="P494" s="8" t="str">
        <f>IF(OR(O494="",'Facturas y gastos'!$B$24="",'Facturas y gastos'!$B$45&lt;&gt;"OK",SUM($O$8:$O$657)=0),"",O494*'Facturas y gastos'!$B$43/SUM($O$8:$O$657))</f>
        <v/>
      </c>
      <c r="Q494" s="8" t="str">
        <f>IF(OR(O494="",'Facturas y gastos'!$B$5="",P494=""),"",O494*'Facturas y gastos'!$B$5+P494)</f>
        <v/>
      </c>
      <c r="R494" s="8" t="str">
        <f t="shared" si="15"/>
        <v/>
      </c>
    </row>
    <row r="495" spans="1:18">
      <c r="A495" s="25" t="s">
        <v>62</v>
      </c>
      <c r="B495" s="25">
        <v>110</v>
      </c>
      <c r="C495" s="25" t="s">
        <v>665</v>
      </c>
      <c r="D495" s="25" t="s">
        <v>450</v>
      </c>
      <c r="E495" s="25" t="s">
        <v>108</v>
      </c>
      <c r="F495" s="27">
        <v>560</v>
      </c>
      <c r="G495" s="27">
        <v>5</v>
      </c>
      <c r="H495" s="29">
        <v>0.75</v>
      </c>
      <c r="I495" s="29">
        <v>417.91</v>
      </c>
      <c r="J495" s="8">
        <f>IF(OR(A495="",I495=""),"",IF(SUMIFS($I$8:$I$657,$A$8:$A$657,A495)=0,"",I495*SUMIFS('Facturas y gastos'!$D$10:$D$13,'Facturas y gastos'!$A$10:$A$13,A495)/SUMIFS($I$8:$I$657,$A$8:$A$657,A495)))</f>
        <v>417.91009131227833</v>
      </c>
      <c r="K495" s="8">
        <f>IF(J495="","",IF(SUMIFS('Facturas y gastos'!$D$10:$D$13,'Facturas y gastos'!$A$10:$A$13,A495)=0,"",J495*SUMIFS('Facturas y gastos'!$G$10:$G$13,'Facturas y gastos'!$A$10:$A$13,A495)/SUMIFS('Facturas y gastos'!$D$10:$D$13,'Facturas y gastos'!$A$10:$A$13,A495)))</f>
        <v>4.1790890425266003</v>
      </c>
      <c r="L495" s="8">
        <f>IF(J495="","",IF(SUMIFS('Facturas y gastos'!$D$10:$D$13,'Facturas y gastos'!$A$10:$A$13,A495)=0,"",J495*SUMIFS('Facturas y gastos'!$H$10:$H$13,'Facturas y gastos'!$A$10:$A$13,A495)/SUMIFS('Facturas y gastos'!$D$10:$D$13,'Facturas y gastos'!$A$10:$A$13,A495)))</f>
        <v>12.537267127579801</v>
      </c>
      <c r="M495" s="8">
        <f>IF(J495="","",IF(SUMIFS('Facturas y gastos'!$D$10:$D$13,'Facturas y gastos'!$A$10:$A$13,A495)=0,"",J495*SUMIFS('Facturas y gastos'!$I$10:$I$13,'Facturas y gastos'!$A$10:$A$13,A495)/SUMIFS('Facturas y gastos'!$D$10:$D$13,'Facturas y gastos'!$A$10:$A$13,A495)))</f>
        <v>72.13669988410895</v>
      </c>
      <c r="N495" s="8">
        <f>IF(J495="","",IF(SUMIFS('Facturas y gastos'!$D$10:$D$13,'Facturas y gastos'!$A$10:$A$13,A495)=0,"",J495*SUMIFS('Facturas y gastos'!$J$10:$J$13,'Facturas y gastos'!$A$10:$A$13,A495)/SUMIFS('Facturas y gastos'!$D$10:$D$13,'Facturas y gastos'!$A$10:$A$13,A495)))</f>
        <v>0</v>
      </c>
      <c r="O495" s="8">
        <f t="shared" si="14"/>
        <v>498.40496928144051</v>
      </c>
      <c r="P495" s="8" t="str">
        <f>IF(OR(O495="",'Facturas y gastos'!$B$24="",'Facturas y gastos'!$B$45&lt;&gt;"OK",SUM($O$8:$O$657)=0),"",O495*'Facturas y gastos'!$B$43/SUM($O$8:$O$657))</f>
        <v/>
      </c>
      <c r="Q495" s="8" t="str">
        <f>IF(OR(O495="",'Facturas y gastos'!$B$5="",P495=""),"",O495*'Facturas y gastos'!$B$5+P495)</f>
        <v/>
      </c>
      <c r="R495" s="8" t="str">
        <f t="shared" si="15"/>
        <v/>
      </c>
    </row>
    <row r="496" spans="1:18">
      <c r="A496" s="25" t="s">
        <v>62</v>
      </c>
      <c r="B496" s="25">
        <v>111</v>
      </c>
      <c r="C496" s="25" t="s">
        <v>666</v>
      </c>
      <c r="D496" s="25" t="s">
        <v>450</v>
      </c>
      <c r="E496" s="25" t="s">
        <v>108</v>
      </c>
      <c r="F496" s="27">
        <v>480</v>
      </c>
      <c r="G496" s="27">
        <v>5</v>
      </c>
      <c r="H496" s="29">
        <v>0.9</v>
      </c>
      <c r="I496" s="29">
        <v>429.85</v>
      </c>
      <c r="J496" s="8">
        <f>IF(OR(A496="",I496=""),"",IF(SUMIFS($I$8:$I$657,$A$8:$A$657,A496)=0,"",I496*SUMIFS('Facturas y gastos'!$D$10:$D$13,'Facturas y gastos'!$A$10:$A$13,A496)/SUMIFS($I$8:$I$657,$A$8:$A$657,A496)))</f>
        <v>429.85009392113813</v>
      </c>
      <c r="K496" s="8">
        <f>IF(J496="","",IF(SUMIFS('Facturas y gastos'!$D$10:$D$13,'Facturas y gastos'!$A$10:$A$13,A496)=0,"",J496*SUMIFS('Facturas y gastos'!$G$10:$G$13,'Facturas y gastos'!$A$10:$A$13,A496)/SUMIFS('Facturas y gastos'!$D$10:$D$13,'Facturas y gastos'!$A$10:$A$13,A496)))</f>
        <v>4.2984887294634229</v>
      </c>
      <c r="L496" s="8">
        <f>IF(J496="","",IF(SUMIFS('Facturas y gastos'!$D$10:$D$13,'Facturas y gastos'!$A$10:$A$13,A496)=0,"",J496*SUMIFS('Facturas y gastos'!$H$10:$H$13,'Facturas y gastos'!$A$10:$A$13,A496)/SUMIFS('Facturas y gastos'!$D$10:$D$13,'Facturas y gastos'!$A$10:$A$13,A496)))</f>
        <v>12.895466188390268</v>
      </c>
      <c r="M496" s="8">
        <f>IF(J496="","",IF(SUMIFS('Facturas y gastos'!$D$10:$D$13,'Facturas y gastos'!$A$10:$A$13,A496)=0,"",J496*SUMIFS('Facturas y gastos'!$I$10:$I$13,'Facturas y gastos'!$A$10:$A$13,A496)/SUMIFS('Facturas y gastos'!$D$10:$D$13,'Facturas y gastos'!$A$10:$A$13,A496)))</f>
        <v>74.197699134225616</v>
      </c>
      <c r="N496" s="8">
        <f>IF(J496="","",IF(SUMIFS('Facturas y gastos'!$D$10:$D$13,'Facturas y gastos'!$A$10:$A$13,A496)=0,"",J496*SUMIFS('Facturas y gastos'!$J$10:$J$13,'Facturas y gastos'!$A$10:$A$13,A496)/SUMIFS('Facturas y gastos'!$D$10:$D$13,'Facturas y gastos'!$A$10:$A$13,A496)))</f>
        <v>0</v>
      </c>
      <c r="O496" s="8">
        <f t="shared" si="14"/>
        <v>512.6447705142906</v>
      </c>
      <c r="P496" s="8" t="str">
        <f>IF(OR(O496="",'Facturas y gastos'!$B$24="",'Facturas y gastos'!$B$45&lt;&gt;"OK",SUM($O$8:$O$657)=0),"",O496*'Facturas y gastos'!$B$43/SUM($O$8:$O$657))</f>
        <v/>
      </c>
      <c r="Q496" s="8" t="str">
        <f>IF(OR(O496="",'Facturas y gastos'!$B$5="",P496=""),"",O496*'Facturas y gastos'!$B$5+P496)</f>
        <v/>
      </c>
      <c r="R496" s="8" t="str">
        <f t="shared" si="15"/>
        <v/>
      </c>
    </row>
    <row r="497" spans="1:18">
      <c r="A497" s="25" t="s">
        <v>62</v>
      </c>
      <c r="B497" s="25">
        <v>112</v>
      </c>
      <c r="C497" s="25" t="s">
        <v>667</v>
      </c>
      <c r="D497" s="25" t="s">
        <v>450</v>
      </c>
      <c r="E497" s="25" t="s">
        <v>108</v>
      </c>
      <c r="F497" s="27">
        <v>600</v>
      </c>
      <c r="G497" s="27">
        <v>5</v>
      </c>
      <c r="H497" s="29">
        <v>0.37</v>
      </c>
      <c r="I497" s="29">
        <v>223.88</v>
      </c>
      <c r="J497" s="8">
        <f>IF(OR(A497="",I497=""),"",IF(SUMIFS($I$8:$I$657,$A$8:$A$657,A497)=0,"",I497*SUMIFS('Facturas y gastos'!$D$10:$D$13,'Facturas y gastos'!$A$10:$A$13,A497)/SUMIFS($I$8:$I$657,$A$8:$A$657,A497)))</f>
        <v>223.88004891721388</v>
      </c>
      <c r="K497" s="8">
        <f>IF(J497="","",IF(SUMIFS('Facturas y gastos'!$D$10:$D$13,'Facturas y gastos'!$A$10:$A$13,A497)=0,"",J497*SUMIFS('Facturas y gastos'!$G$10:$G$13,'Facturas y gastos'!$A$10:$A$13,A497)/SUMIFS('Facturas y gastos'!$D$10:$D$13,'Facturas y gastos'!$A$10:$A$13,A497)))</f>
        <v>2.2387941299343281</v>
      </c>
      <c r="L497" s="8">
        <f>IF(J497="","",IF(SUMIFS('Facturas y gastos'!$D$10:$D$13,'Facturas y gastos'!$A$10:$A$13,A497)=0,"",J497*SUMIFS('Facturas y gastos'!$H$10:$H$13,'Facturas y gastos'!$A$10:$A$13,A497)/SUMIFS('Facturas y gastos'!$D$10:$D$13,'Facturas y gastos'!$A$10:$A$13,A497)))</f>
        <v>6.7163823898029849</v>
      </c>
      <c r="M497" s="8">
        <f>IF(J497="","",IF(SUMIFS('Facturas y gastos'!$D$10:$D$13,'Facturas y gastos'!$A$10:$A$13,A497)=0,"",J497*SUMIFS('Facturas y gastos'!$I$10:$I$13,'Facturas y gastos'!$A$10:$A$13,A497)/SUMIFS('Facturas y gastos'!$D$10:$D$13,'Facturas y gastos'!$A$10:$A$13,A497)))</f>
        <v>38.644599004700311</v>
      </c>
      <c r="N497" s="8">
        <f>IF(J497="","",IF(SUMIFS('Facturas y gastos'!$D$10:$D$13,'Facturas y gastos'!$A$10:$A$13,A497)=0,"",J497*SUMIFS('Facturas y gastos'!$J$10:$J$13,'Facturas y gastos'!$A$10:$A$13,A497)/SUMIFS('Facturas y gastos'!$D$10:$D$13,'Facturas y gastos'!$A$10:$A$13,A497)))</f>
        <v>0</v>
      </c>
      <c r="O497" s="8">
        <f t="shared" si="14"/>
        <v>267.00223618178285</v>
      </c>
      <c r="P497" s="8" t="str">
        <f>IF(OR(O497="",'Facturas y gastos'!$B$24="",'Facturas y gastos'!$B$45&lt;&gt;"OK",SUM($O$8:$O$657)=0),"",O497*'Facturas y gastos'!$B$43/SUM($O$8:$O$657))</f>
        <v/>
      </c>
      <c r="Q497" s="8" t="str">
        <f>IF(OR(O497="",'Facturas y gastos'!$B$5="",P497=""),"",O497*'Facturas y gastos'!$B$5+P497)</f>
        <v/>
      </c>
      <c r="R497" s="8" t="str">
        <f t="shared" si="15"/>
        <v/>
      </c>
    </row>
    <row r="498" spans="1:18">
      <c r="A498" s="25" t="s">
        <v>62</v>
      </c>
      <c r="B498" s="25">
        <v>113</v>
      </c>
      <c r="C498" s="25" t="s">
        <v>668</v>
      </c>
      <c r="D498" s="25" t="s">
        <v>669</v>
      </c>
      <c r="E498" s="25" t="s">
        <v>108</v>
      </c>
      <c r="F498" s="27">
        <v>600</v>
      </c>
      <c r="G498" s="27">
        <v>5</v>
      </c>
      <c r="H498" s="29">
        <v>0.52</v>
      </c>
      <c r="I498" s="29">
        <v>313.43</v>
      </c>
      <c r="J498" s="8">
        <f>IF(OR(A498="",I498=""),"",IF(SUMIFS($I$8:$I$657,$A$8:$A$657,A498)=0,"",I498*SUMIFS('Facturas y gastos'!$D$10:$D$13,'Facturas y gastos'!$A$10:$A$13,A498)/SUMIFS($I$8:$I$657,$A$8:$A$657,A498)))</f>
        <v>313.43006848366247</v>
      </c>
      <c r="K498" s="8">
        <f>IF(J498="","",IF(SUMIFS('Facturas y gastos'!$D$10:$D$13,'Facturas y gastos'!$A$10:$A$13,A498)=0,"",J498*SUMIFS('Facturas y gastos'!$G$10:$G$13,'Facturas y gastos'!$A$10:$A$13,A498)/SUMIFS('Facturas y gastos'!$D$10:$D$13,'Facturas y gastos'!$A$10:$A$13,A498)))</f>
        <v>3.1342917819604987</v>
      </c>
      <c r="L498" s="8">
        <f>IF(J498="","",IF(SUMIFS('Facturas y gastos'!$D$10:$D$13,'Facturas y gastos'!$A$10:$A$13,A498)=0,"",J498*SUMIFS('Facturas y gastos'!$H$10:$H$13,'Facturas y gastos'!$A$10:$A$13,A498)/SUMIFS('Facturas y gastos'!$D$10:$D$13,'Facturas y gastos'!$A$10:$A$13,A498)))</f>
        <v>9.4028753458814958</v>
      </c>
      <c r="M498" s="8">
        <f>IF(J498="","",IF(SUMIFS('Facturas y gastos'!$D$10:$D$13,'Facturas y gastos'!$A$10:$A$13,A498)=0,"",J498*SUMIFS('Facturas y gastos'!$I$10:$I$13,'Facturas y gastos'!$A$10:$A$13,A498)/SUMIFS('Facturas y gastos'!$D$10:$D$13,'Facturas y gastos'!$A$10:$A$13,A498)))</f>
        <v>54.102093380575397</v>
      </c>
      <c r="N498" s="8">
        <f>IF(J498="","",IF(SUMIFS('Facturas y gastos'!$D$10:$D$13,'Facturas y gastos'!$A$10:$A$13,A498)=0,"",J498*SUMIFS('Facturas y gastos'!$J$10:$J$13,'Facturas y gastos'!$A$10:$A$13,A498)/SUMIFS('Facturas y gastos'!$D$10:$D$13,'Facturas y gastos'!$A$10:$A$13,A498)))</f>
        <v>0</v>
      </c>
      <c r="O498" s="8">
        <f t="shared" si="14"/>
        <v>373.8007454281589</v>
      </c>
      <c r="P498" s="8" t="str">
        <f>IF(OR(O498="",'Facturas y gastos'!$B$24="",'Facturas y gastos'!$B$45&lt;&gt;"OK",SUM($O$8:$O$657)=0),"",O498*'Facturas y gastos'!$B$43/SUM($O$8:$O$657))</f>
        <v/>
      </c>
      <c r="Q498" s="8" t="str">
        <f>IF(OR(O498="",'Facturas y gastos'!$B$5="",P498=""),"",O498*'Facturas y gastos'!$B$5+P498)</f>
        <v/>
      </c>
      <c r="R498" s="8" t="str">
        <f t="shared" si="15"/>
        <v/>
      </c>
    </row>
    <row r="499" spans="1:18">
      <c r="A499" s="25" t="s">
        <v>62</v>
      </c>
      <c r="B499" s="25">
        <v>114</v>
      </c>
      <c r="C499" s="25" t="s">
        <v>670</v>
      </c>
      <c r="D499" s="25" t="s">
        <v>669</v>
      </c>
      <c r="E499" s="25" t="s">
        <v>108</v>
      </c>
      <c r="F499" s="27">
        <v>520</v>
      </c>
      <c r="G499" s="27">
        <v>5</v>
      </c>
      <c r="H499" s="29">
        <v>0.6</v>
      </c>
      <c r="I499" s="29">
        <v>310.45</v>
      </c>
      <c r="J499" s="8">
        <f>IF(OR(A499="",I499=""),"",IF(SUMIFS($I$8:$I$657,$A$8:$A$657,A499)=0,"",I499*SUMIFS('Facturas y gastos'!$D$10:$D$13,'Facturas y gastos'!$A$10:$A$13,A499)/SUMIFS($I$8:$I$657,$A$8:$A$657,A499)))</f>
        <v>310.45006783254001</v>
      </c>
      <c r="K499" s="8">
        <f>IF(J499="","",IF(SUMIFS('Facturas y gastos'!$D$10:$D$13,'Facturas y gastos'!$A$10:$A$13,A499)=0,"",J499*SUMIFS('Facturas y gastos'!$G$10:$G$13,'Facturas y gastos'!$A$10:$A$13,A499)/SUMIFS('Facturas y gastos'!$D$10:$D$13,'Facturas y gastos'!$A$10:$A$13,A499)))</f>
        <v>3.104491860095195</v>
      </c>
      <c r="L499" s="8">
        <f>IF(J499="","",IF(SUMIFS('Facturas y gastos'!$D$10:$D$13,'Facturas y gastos'!$A$10:$A$13,A499)=0,"",J499*SUMIFS('Facturas y gastos'!$H$10:$H$13,'Facturas y gastos'!$A$10:$A$13,A499)/SUMIFS('Facturas y gastos'!$D$10:$D$13,'Facturas y gastos'!$A$10:$A$13,A499)))</f>
        <v>9.3134755802855853</v>
      </c>
      <c r="M499" s="8">
        <f>IF(J499="","",IF(SUMIFS('Facturas y gastos'!$D$10:$D$13,'Facturas y gastos'!$A$10:$A$13,A499)=0,"",J499*SUMIFS('Facturas y gastos'!$I$10:$I$13,'Facturas y gastos'!$A$10:$A$13,A499)/SUMIFS('Facturas y gastos'!$D$10:$D$13,'Facturas y gastos'!$A$10:$A$13,A499)))</f>
        <v>53.587706633058843</v>
      </c>
      <c r="N499" s="8">
        <f>IF(J499="","",IF(SUMIFS('Facturas y gastos'!$D$10:$D$13,'Facturas y gastos'!$A$10:$A$13,A499)=0,"",J499*SUMIFS('Facturas y gastos'!$J$10:$J$13,'Facturas y gastos'!$A$10:$A$13,A499)/SUMIFS('Facturas y gastos'!$D$10:$D$13,'Facturas y gastos'!$A$10:$A$13,A499)))</f>
        <v>0</v>
      </c>
      <c r="O499" s="8">
        <f t="shared" si="14"/>
        <v>370.24675818578919</v>
      </c>
      <c r="P499" s="8" t="str">
        <f>IF(OR(O499="",'Facturas y gastos'!$B$24="",'Facturas y gastos'!$B$45&lt;&gt;"OK",SUM($O$8:$O$657)=0),"",O499*'Facturas y gastos'!$B$43/SUM($O$8:$O$657))</f>
        <v/>
      </c>
      <c r="Q499" s="8" t="str">
        <f>IF(OR(O499="",'Facturas y gastos'!$B$5="",P499=""),"",O499*'Facturas y gastos'!$B$5+P499)</f>
        <v/>
      </c>
      <c r="R499" s="8" t="str">
        <f t="shared" si="15"/>
        <v/>
      </c>
    </row>
    <row r="500" spans="1:18">
      <c r="A500" s="25" t="s">
        <v>62</v>
      </c>
      <c r="B500" s="25">
        <v>115</v>
      </c>
      <c r="C500" s="25" t="s">
        <v>671</v>
      </c>
      <c r="D500" s="25" t="s">
        <v>669</v>
      </c>
      <c r="E500" s="25" t="s">
        <v>108</v>
      </c>
      <c r="F500" s="27">
        <v>480</v>
      </c>
      <c r="G500" s="27">
        <v>5</v>
      </c>
      <c r="H500" s="29">
        <v>0.67</v>
      </c>
      <c r="I500" s="29">
        <v>322.39</v>
      </c>
      <c r="J500" s="8">
        <f>IF(OR(A500="",I500=""),"",IF(SUMIFS($I$8:$I$657,$A$8:$A$657,A500)=0,"",I500*SUMIFS('Facturas y gastos'!$D$10:$D$13,'Facturas y gastos'!$A$10:$A$13,A500)/SUMIFS($I$8:$I$657,$A$8:$A$657,A500)))</f>
        <v>322.39007044139981</v>
      </c>
      <c r="K500" s="8">
        <f>IF(J500="","",IF(SUMIFS('Facturas y gastos'!$D$10:$D$13,'Facturas y gastos'!$A$10:$A$13,A500)=0,"",J500*SUMIFS('Facturas y gastos'!$G$10:$G$13,'Facturas y gastos'!$A$10:$A$13,A500)/SUMIFS('Facturas y gastos'!$D$10:$D$13,'Facturas y gastos'!$A$10:$A$13,A500)))</f>
        <v>3.2238915470320175</v>
      </c>
      <c r="L500" s="8">
        <f>IF(J500="","",IF(SUMIFS('Facturas y gastos'!$D$10:$D$13,'Facturas y gastos'!$A$10:$A$13,A500)=0,"",J500*SUMIFS('Facturas y gastos'!$H$10:$H$13,'Facturas y gastos'!$A$10:$A$13,A500)/SUMIFS('Facturas y gastos'!$D$10:$D$13,'Facturas y gastos'!$A$10:$A$13,A500)))</f>
        <v>9.6716746410960521</v>
      </c>
      <c r="M500" s="8">
        <f>IF(J500="","",IF(SUMIFS('Facturas y gastos'!$D$10:$D$13,'Facturas y gastos'!$A$10:$A$13,A500)=0,"",J500*SUMIFS('Facturas y gastos'!$I$10:$I$13,'Facturas y gastos'!$A$10:$A$13,A500)/SUMIFS('Facturas y gastos'!$D$10:$D$13,'Facturas y gastos'!$A$10:$A$13,A500)))</f>
        <v>55.648705883175523</v>
      </c>
      <c r="N500" s="8">
        <f>IF(J500="","",IF(SUMIFS('Facturas y gastos'!$D$10:$D$13,'Facturas y gastos'!$A$10:$A$13,A500)=0,"",J500*SUMIFS('Facturas y gastos'!$J$10:$J$13,'Facturas y gastos'!$A$10:$A$13,A500)/SUMIFS('Facturas y gastos'!$D$10:$D$13,'Facturas y gastos'!$A$10:$A$13,A500)))</f>
        <v>0</v>
      </c>
      <c r="O500" s="8">
        <f t="shared" si="14"/>
        <v>384.48655941863939</v>
      </c>
      <c r="P500" s="8" t="str">
        <f>IF(OR(O500="",'Facturas y gastos'!$B$24="",'Facturas y gastos'!$B$45&lt;&gt;"OK",SUM($O$8:$O$657)=0),"",O500*'Facturas y gastos'!$B$43/SUM($O$8:$O$657))</f>
        <v/>
      </c>
      <c r="Q500" s="8" t="str">
        <f>IF(OR(O500="",'Facturas y gastos'!$B$5="",P500=""),"",O500*'Facturas y gastos'!$B$5+P500)</f>
        <v/>
      </c>
      <c r="R500" s="8" t="str">
        <f t="shared" si="15"/>
        <v/>
      </c>
    </row>
    <row r="501" spans="1:18">
      <c r="A501" s="25" t="s">
        <v>62</v>
      </c>
      <c r="B501" s="25">
        <v>116</v>
      </c>
      <c r="C501" s="25" t="s">
        <v>672</v>
      </c>
      <c r="D501" s="25" t="s">
        <v>673</v>
      </c>
      <c r="E501" s="25" t="s">
        <v>108</v>
      </c>
      <c r="F501" s="27">
        <v>1200</v>
      </c>
      <c r="G501" s="27">
        <v>5</v>
      </c>
      <c r="H501" s="29">
        <v>0.4</v>
      </c>
      <c r="I501" s="29">
        <v>483.58</v>
      </c>
      <c r="J501" s="8">
        <f>IF(OR(A501="",I501=""),"",IF(SUMIFS($I$8:$I$657,$A$8:$A$657,A501)=0,"",I501*SUMIFS('Facturas y gastos'!$D$10:$D$13,'Facturas y gastos'!$A$10:$A$13,A501)/SUMIFS($I$8:$I$657,$A$8:$A$657,A501)))</f>
        <v>483.58010566100722</v>
      </c>
      <c r="K501" s="8">
        <f>IF(J501="","",IF(SUMIFS('Facturas y gastos'!$D$10:$D$13,'Facturas y gastos'!$A$10:$A$13,A501)=0,"",J501*SUMIFS('Facturas y gastos'!$G$10:$G$13,'Facturas y gastos'!$A$10:$A$13,A501)/SUMIFS('Facturas y gastos'!$D$10:$D$13,'Facturas y gastos'!$A$10:$A$13,A501)))</f>
        <v>4.8357873206791249</v>
      </c>
      <c r="L501" s="8">
        <f>IF(J501="","",IF(SUMIFS('Facturas y gastos'!$D$10:$D$13,'Facturas y gastos'!$A$10:$A$13,A501)=0,"",J501*SUMIFS('Facturas y gastos'!$H$10:$H$13,'Facturas y gastos'!$A$10:$A$13,A501)/SUMIFS('Facturas y gastos'!$D$10:$D$13,'Facturas y gastos'!$A$10:$A$13,A501)))</f>
        <v>14.507361962037374</v>
      </c>
      <c r="M501" s="8">
        <f>IF(J501="","",IF(SUMIFS('Facturas y gastos'!$D$10:$D$13,'Facturas y gastos'!$A$10:$A$13,A501)=0,"",J501*SUMIFS('Facturas y gastos'!$I$10:$I$13,'Facturas y gastos'!$A$10:$A$13,A501)/SUMIFS('Facturas y gastos'!$D$10:$D$13,'Facturas y gastos'!$A$10:$A$13,A501)))</f>
        <v>83.472195759750662</v>
      </c>
      <c r="N501" s="8">
        <f>IF(J501="","",IF(SUMIFS('Facturas y gastos'!$D$10:$D$13,'Facturas y gastos'!$A$10:$A$13,A501)=0,"",J501*SUMIFS('Facturas y gastos'!$J$10:$J$13,'Facturas y gastos'!$A$10:$A$13,A501)/SUMIFS('Facturas y gastos'!$D$10:$D$13,'Facturas y gastos'!$A$10:$A$13,A501)))</f>
        <v>0</v>
      </c>
      <c r="O501" s="8">
        <f t="shared" si="14"/>
        <v>576.72387606211612</v>
      </c>
      <c r="P501" s="8" t="str">
        <f>IF(OR(O501="",'Facturas y gastos'!$B$24="",'Facturas y gastos'!$B$45&lt;&gt;"OK",SUM($O$8:$O$657)=0),"",O501*'Facturas y gastos'!$B$43/SUM($O$8:$O$657))</f>
        <v/>
      </c>
      <c r="Q501" s="8" t="str">
        <f>IF(OR(O501="",'Facturas y gastos'!$B$5="",P501=""),"",O501*'Facturas y gastos'!$B$5+P501)</f>
        <v/>
      </c>
      <c r="R501" s="8" t="str">
        <f t="shared" si="15"/>
        <v/>
      </c>
    </row>
    <row r="502" spans="1:18">
      <c r="A502" s="25" t="s">
        <v>62</v>
      </c>
      <c r="B502" s="25">
        <v>117</v>
      </c>
      <c r="C502" s="25" t="s">
        <v>674</v>
      </c>
      <c r="D502" s="25" t="s">
        <v>673</v>
      </c>
      <c r="E502" s="25" t="s">
        <v>108</v>
      </c>
      <c r="F502" s="27">
        <v>480</v>
      </c>
      <c r="G502" s="27">
        <v>5</v>
      </c>
      <c r="H502" s="29">
        <v>0.78</v>
      </c>
      <c r="I502" s="29">
        <v>372.54</v>
      </c>
      <c r="J502" s="8">
        <f>IF(OR(A502="",I502=""),"",IF(SUMIFS($I$8:$I$657,$A$8:$A$657,A502)=0,"",I502*SUMIFS('Facturas y gastos'!$D$10:$D$13,'Facturas y gastos'!$A$10:$A$13,A502)/SUMIFS($I$8:$I$657,$A$8:$A$657,A502)))</f>
        <v>372.54008139904801</v>
      </c>
      <c r="K502" s="8">
        <f>IF(J502="","",IF(SUMIFS('Facturas y gastos'!$D$10:$D$13,'Facturas y gastos'!$A$10:$A$13,A502)=0,"",J502*SUMIFS('Facturas y gastos'!$G$10:$G$13,'Facturas y gastos'!$A$10:$A$13,A502)/SUMIFS('Facturas y gastos'!$D$10:$D$13,'Facturas y gastos'!$A$10:$A$13,A502)))</f>
        <v>3.7253902321142336</v>
      </c>
      <c r="L502" s="8">
        <f>IF(J502="","",IF(SUMIFS('Facturas y gastos'!$D$10:$D$13,'Facturas y gastos'!$A$10:$A$13,A502)=0,"",J502*SUMIFS('Facturas y gastos'!$H$10:$H$13,'Facturas y gastos'!$A$10:$A$13,A502)/SUMIFS('Facturas y gastos'!$D$10:$D$13,'Facturas y gastos'!$A$10:$A$13,A502)))</f>
        <v>11.176170696342702</v>
      </c>
      <c r="M502" s="8">
        <f>IF(J502="","",IF(SUMIFS('Facturas y gastos'!$D$10:$D$13,'Facturas y gastos'!$A$10:$A$13,A502)=0,"",J502*SUMIFS('Facturas y gastos'!$I$10:$I$13,'Facturas y gastos'!$A$10:$A$13,A502)/SUMIFS('Facturas y gastos'!$D$10:$D$13,'Facturas y gastos'!$A$10:$A$13,A502)))</f>
        <v>64.305247959670609</v>
      </c>
      <c r="N502" s="8">
        <f>IF(J502="","",IF(SUMIFS('Facturas y gastos'!$D$10:$D$13,'Facturas y gastos'!$A$10:$A$13,A502)=0,"",J502*SUMIFS('Facturas y gastos'!$J$10:$J$13,'Facturas y gastos'!$A$10:$A$13,A502)/SUMIFS('Facturas y gastos'!$D$10:$D$13,'Facturas y gastos'!$A$10:$A$13,A502)))</f>
        <v>0</v>
      </c>
      <c r="O502" s="8">
        <f t="shared" si="14"/>
        <v>444.29610982294707</v>
      </c>
      <c r="P502" s="8" t="str">
        <f>IF(OR(O502="",'Facturas y gastos'!$B$24="",'Facturas y gastos'!$B$45&lt;&gt;"OK",SUM($O$8:$O$657)=0),"",O502*'Facturas y gastos'!$B$43/SUM($O$8:$O$657))</f>
        <v/>
      </c>
      <c r="Q502" s="8" t="str">
        <f>IF(OR(O502="",'Facturas y gastos'!$B$5="",P502=""),"",O502*'Facturas y gastos'!$B$5+P502)</f>
        <v/>
      </c>
      <c r="R502" s="8" t="str">
        <f t="shared" si="15"/>
        <v/>
      </c>
    </row>
    <row r="503" spans="1:18">
      <c r="A503" s="25" t="s">
        <v>62</v>
      </c>
      <c r="B503" s="25">
        <v>118</v>
      </c>
      <c r="C503" s="25" t="s">
        <v>675</v>
      </c>
      <c r="D503" s="25" t="s">
        <v>673</v>
      </c>
      <c r="E503" s="25" t="s">
        <v>108</v>
      </c>
      <c r="F503" s="27">
        <v>360</v>
      </c>
      <c r="G503" s="27">
        <v>5</v>
      </c>
      <c r="H503" s="29">
        <v>1.1200000000000001</v>
      </c>
      <c r="I503" s="29">
        <v>402.99</v>
      </c>
      <c r="J503" s="8">
        <f>IF(OR(A503="",I503=""),"",IF(SUMIFS($I$8:$I$657,$A$8:$A$657,A503)=0,"",I503*SUMIFS('Facturas y gastos'!$D$10:$D$13,'Facturas y gastos'!$A$10:$A$13,A503)/SUMIFS($I$8:$I$657,$A$8:$A$657,A503)))</f>
        <v>402.99008805229602</v>
      </c>
      <c r="K503" s="8">
        <f>IF(J503="","",IF(SUMIFS('Facturas y gastos'!$D$10:$D$13,'Facturas y gastos'!$A$10:$A$13,A503)=0,"",J503*SUMIFS('Facturas y gastos'!$G$10:$G$13,'Facturas y gastos'!$A$10:$A$13,A503)/SUMIFS('Facturas y gastos'!$D$10:$D$13,'Facturas y gastos'!$A$10:$A$13,A503)))</f>
        <v>4.0298894337244731</v>
      </c>
      <c r="L503" s="8">
        <f>IF(J503="","",IF(SUMIFS('Facturas y gastos'!$D$10:$D$13,'Facturas y gastos'!$A$10:$A$13,A503)=0,"",J503*SUMIFS('Facturas y gastos'!$H$10:$H$13,'Facturas y gastos'!$A$10:$A$13,A503)/SUMIFS('Facturas y gastos'!$D$10:$D$13,'Facturas y gastos'!$A$10:$A$13,A503)))</f>
        <v>12.089668301173418</v>
      </c>
      <c r="M503" s="8">
        <f>IF(J503="","",IF(SUMIFS('Facturas y gastos'!$D$10:$D$13,'Facturas y gastos'!$A$10:$A$13,A503)=0,"",J503*SUMIFS('Facturas y gastos'!$I$10:$I$13,'Facturas y gastos'!$A$10:$A$13,A503)/SUMIFS('Facturas y gastos'!$D$10:$D$13,'Facturas y gastos'!$A$10:$A$13,A503)))</f>
        <v>69.561313886475702</v>
      </c>
      <c r="N503" s="8">
        <f>IF(J503="","",IF(SUMIFS('Facturas y gastos'!$D$10:$D$13,'Facturas y gastos'!$A$10:$A$13,A503)=0,"",J503*SUMIFS('Facturas y gastos'!$J$10:$J$13,'Facturas y gastos'!$A$10:$A$13,A503)/SUMIFS('Facturas y gastos'!$D$10:$D$13,'Facturas y gastos'!$A$10:$A$13,A503)))</f>
        <v>0</v>
      </c>
      <c r="O503" s="8">
        <f t="shared" si="14"/>
        <v>480.61118080622072</v>
      </c>
      <c r="P503" s="8" t="str">
        <f>IF(OR(O503="",'Facturas y gastos'!$B$24="",'Facturas y gastos'!$B$45&lt;&gt;"OK",SUM($O$8:$O$657)=0),"",O503*'Facturas y gastos'!$B$43/SUM($O$8:$O$657))</f>
        <v/>
      </c>
      <c r="Q503" s="8" t="str">
        <f>IF(OR(O503="",'Facturas y gastos'!$B$5="",P503=""),"",O503*'Facturas y gastos'!$B$5+P503)</f>
        <v/>
      </c>
      <c r="R503" s="8" t="str">
        <f t="shared" si="15"/>
        <v/>
      </c>
    </row>
    <row r="504" spans="1:18">
      <c r="A504" s="25" t="s">
        <v>62</v>
      </c>
      <c r="B504" s="25">
        <v>119</v>
      </c>
      <c r="C504" s="25" t="s">
        <v>676</v>
      </c>
      <c r="D504" s="25" t="s">
        <v>673</v>
      </c>
      <c r="E504" s="25" t="s">
        <v>108</v>
      </c>
      <c r="F504" s="27">
        <v>280</v>
      </c>
      <c r="G504" s="27">
        <v>5</v>
      </c>
      <c r="H504" s="29">
        <v>1.64</v>
      </c>
      <c r="I504" s="29">
        <v>459.7</v>
      </c>
      <c r="J504" s="8">
        <f>IF(OR(A504="",I504=""),"",IF(SUMIFS($I$8:$I$657,$A$8:$A$657,A504)=0,"",I504*SUMIFS('Facturas y gastos'!$D$10:$D$13,'Facturas y gastos'!$A$10:$A$13,A504)/SUMIFS($I$8:$I$657,$A$8:$A$657,A504)))</f>
        <v>459.70010044328762</v>
      </c>
      <c r="K504" s="8">
        <f>IF(J504="","",IF(SUMIFS('Facturas y gastos'!$D$10:$D$13,'Facturas y gastos'!$A$10:$A$13,A504)=0,"",J504*SUMIFS('Facturas y gastos'!$G$10:$G$13,'Facturas y gastos'!$A$10:$A$13,A504)/SUMIFS('Facturas y gastos'!$D$10:$D$13,'Facturas y gastos'!$A$10:$A$13,A504)))</f>
        <v>4.5969879468054797</v>
      </c>
      <c r="L504" s="8">
        <f>IF(J504="","",IF(SUMIFS('Facturas y gastos'!$D$10:$D$13,'Facturas y gastos'!$A$10:$A$13,A504)=0,"",J504*SUMIFS('Facturas y gastos'!$H$10:$H$13,'Facturas y gastos'!$A$10:$A$13,A504)/SUMIFS('Facturas y gastos'!$D$10:$D$13,'Facturas y gastos'!$A$10:$A$13,A504)))</f>
        <v>13.790963840416438</v>
      </c>
      <c r="M504" s="8">
        <f>IF(J504="","",IF(SUMIFS('Facturas y gastos'!$D$10:$D$13,'Facturas y gastos'!$A$10:$A$13,A504)=0,"",J504*SUMIFS('Facturas y gastos'!$I$10:$I$13,'Facturas y gastos'!$A$10:$A$13,A504)/SUMIFS('Facturas y gastos'!$D$10:$D$13,'Facturas y gastos'!$A$10:$A$13,A504)))</f>
        <v>79.350197259517316</v>
      </c>
      <c r="N504" s="8">
        <f>IF(J504="","",IF(SUMIFS('Facturas y gastos'!$D$10:$D$13,'Facturas y gastos'!$A$10:$A$13,A504)=0,"",J504*SUMIFS('Facturas y gastos'!$J$10:$J$13,'Facturas y gastos'!$A$10:$A$13,A504)/SUMIFS('Facturas y gastos'!$D$10:$D$13,'Facturas y gastos'!$A$10:$A$13,A504)))</f>
        <v>0</v>
      </c>
      <c r="O504" s="8">
        <f t="shared" si="14"/>
        <v>548.24427359641595</v>
      </c>
      <c r="P504" s="8" t="str">
        <f>IF(OR(O504="",'Facturas y gastos'!$B$24="",'Facturas y gastos'!$B$45&lt;&gt;"OK",SUM($O$8:$O$657)=0),"",O504*'Facturas y gastos'!$B$43/SUM($O$8:$O$657))</f>
        <v/>
      </c>
      <c r="Q504" s="8" t="str">
        <f>IF(OR(O504="",'Facturas y gastos'!$B$5="",P504=""),"",O504*'Facturas y gastos'!$B$5+P504)</f>
        <v/>
      </c>
      <c r="R504" s="8" t="str">
        <f t="shared" si="15"/>
        <v/>
      </c>
    </row>
    <row r="505" spans="1:18">
      <c r="A505" s="25" t="s">
        <v>62</v>
      </c>
      <c r="B505" s="25">
        <v>120</v>
      </c>
      <c r="C505" s="25" t="s">
        <v>677</v>
      </c>
      <c r="D505" s="25" t="s">
        <v>450</v>
      </c>
      <c r="E505" s="25" t="s">
        <v>108</v>
      </c>
      <c r="F505" s="27">
        <v>520</v>
      </c>
      <c r="G505" s="27">
        <v>5</v>
      </c>
      <c r="H505" s="29">
        <v>0.9</v>
      </c>
      <c r="I505" s="29">
        <v>465.67</v>
      </c>
      <c r="J505" s="8">
        <f>IF(OR(A505="",I505=""),"",IF(SUMIFS($I$8:$I$657,$A$8:$A$657,A505)=0,"",I505*SUMIFS('Facturas y gastos'!$D$10:$D$13,'Facturas y gastos'!$A$10:$A$13,A505)/SUMIFS($I$8:$I$657,$A$8:$A$657,A505)))</f>
        <v>465.67010174771752</v>
      </c>
      <c r="K505" s="8">
        <f>IF(J505="","",IF(SUMIFS('Facturas y gastos'!$D$10:$D$13,'Facturas y gastos'!$A$10:$A$13,A505)=0,"",J505*SUMIFS('Facturas y gastos'!$G$10:$G$13,'Facturas y gastos'!$A$10:$A$13,A505)/SUMIFS('Facturas y gastos'!$D$10:$D$13,'Facturas y gastos'!$A$10:$A$13,A505)))</f>
        <v>4.6566877902738915</v>
      </c>
      <c r="L505" s="8">
        <f>IF(J505="","",IF(SUMIFS('Facturas y gastos'!$D$10:$D$13,'Facturas y gastos'!$A$10:$A$13,A505)=0,"",J505*SUMIFS('Facturas y gastos'!$H$10:$H$13,'Facturas y gastos'!$A$10:$A$13,A505)/SUMIFS('Facturas y gastos'!$D$10:$D$13,'Facturas y gastos'!$A$10:$A$13,A505)))</f>
        <v>13.970063370821673</v>
      </c>
      <c r="M505" s="8">
        <f>IF(J505="","",IF(SUMIFS('Facturas y gastos'!$D$10:$D$13,'Facturas y gastos'!$A$10:$A$13,A505)=0,"",J505*SUMIFS('Facturas y gastos'!$I$10:$I$13,'Facturas y gastos'!$A$10:$A$13,A505)/SUMIFS('Facturas y gastos'!$D$10:$D$13,'Facturas y gastos'!$A$10:$A$13,A505)))</f>
        <v>80.380696884575656</v>
      </c>
      <c r="N505" s="8">
        <f>IF(J505="","",IF(SUMIFS('Facturas y gastos'!$D$10:$D$13,'Facturas y gastos'!$A$10:$A$13,A505)=0,"",J505*SUMIFS('Facturas y gastos'!$J$10:$J$13,'Facturas y gastos'!$A$10:$A$13,A505)/SUMIFS('Facturas y gastos'!$D$10:$D$13,'Facturas y gastos'!$A$10:$A$13,A505)))</f>
        <v>0</v>
      </c>
      <c r="O505" s="8">
        <f t="shared" si="14"/>
        <v>555.36417421284091</v>
      </c>
      <c r="P505" s="8" t="str">
        <f>IF(OR(O505="",'Facturas y gastos'!$B$24="",'Facturas y gastos'!$B$45&lt;&gt;"OK",SUM($O$8:$O$657)=0),"",O505*'Facturas y gastos'!$B$43/SUM($O$8:$O$657))</f>
        <v/>
      </c>
      <c r="Q505" s="8" t="str">
        <f>IF(OR(O505="",'Facturas y gastos'!$B$5="",P505=""),"",O505*'Facturas y gastos'!$B$5+P505)</f>
        <v/>
      </c>
      <c r="R505" s="8" t="str">
        <f t="shared" si="15"/>
        <v/>
      </c>
    </row>
    <row r="506" spans="1:18">
      <c r="A506" s="25" t="s">
        <v>62</v>
      </c>
      <c r="B506" s="25">
        <v>121</v>
      </c>
      <c r="C506" s="25" t="s">
        <v>678</v>
      </c>
      <c r="D506" s="25" t="s">
        <v>679</v>
      </c>
      <c r="E506" s="25" t="s">
        <v>108</v>
      </c>
      <c r="F506" s="27">
        <v>600</v>
      </c>
      <c r="G506" s="27">
        <v>5</v>
      </c>
      <c r="H506" s="29">
        <v>0.75</v>
      </c>
      <c r="I506" s="29">
        <v>447.76</v>
      </c>
      <c r="J506" s="8">
        <f>IF(OR(A506="",I506=""),"",IF(SUMIFS($I$8:$I$657,$A$8:$A$657,A506)=0,"",I506*SUMIFS('Facturas y gastos'!$D$10:$D$13,'Facturas y gastos'!$A$10:$A$13,A506)/SUMIFS($I$8:$I$657,$A$8:$A$657,A506)))</f>
        <v>447.76009783442777</v>
      </c>
      <c r="K506" s="8">
        <f>IF(J506="","",IF(SUMIFS('Facturas y gastos'!$D$10:$D$13,'Facturas y gastos'!$A$10:$A$13,A506)=0,"",J506*SUMIFS('Facturas y gastos'!$G$10:$G$13,'Facturas y gastos'!$A$10:$A$13,A506)/SUMIFS('Facturas y gastos'!$D$10:$D$13,'Facturas y gastos'!$A$10:$A$13,A506)))</f>
        <v>4.4775882598686563</v>
      </c>
      <c r="L506" s="8">
        <f>IF(J506="","",IF(SUMIFS('Facturas y gastos'!$D$10:$D$13,'Facturas y gastos'!$A$10:$A$13,A506)=0,"",J506*SUMIFS('Facturas y gastos'!$H$10:$H$13,'Facturas y gastos'!$A$10:$A$13,A506)/SUMIFS('Facturas y gastos'!$D$10:$D$13,'Facturas y gastos'!$A$10:$A$13,A506)))</f>
        <v>13.43276477960597</v>
      </c>
      <c r="M506" s="8">
        <f>IF(J506="","",IF(SUMIFS('Facturas y gastos'!$D$10:$D$13,'Facturas y gastos'!$A$10:$A$13,A506)=0,"",J506*SUMIFS('Facturas y gastos'!$I$10:$I$13,'Facturas y gastos'!$A$10:$A$13,A506)/SUMIFS('Facturas y gastos'!$D$10:$D$13,'Facturas y gastos'!$A$10:$A$13,A506)))</f>
        <v>77.289198009400621</v>
      </c>
      <c r="N506" s="8">
        <f>IF(J506="","",IF(SUMIFS('Facturas y gastos'!$D$10:$D$13,'Facturas y gastos'!$A$10:$A$13,A506)=0,"",J506*SUMIFS('Facturas y gastos'!$J$10:$J$13,'Facturas y gastos'!$A$10:$A$13,A506)/SUMIFS('Facturas y gastos'!$D$10:$D$13,'Facturas y gastos'!$A$10:$A$13,A506)))</f>
        <v>0</v>
      </c>
      <c r="O506" s="8">
        <f t="shared" si="14"/>
        <v>534.0044723635657</v>
      </c>
      <c r="P506" s="8" t="str">
        <f>IF(OR(O506="",'Facturas y gastos'!$B$24="",'Facturas y gastos'!$B$45&lt;&gt;"OK",SUM($O$8:$O$657)=0),"",O506*'Facturas y gastos'!$B$43/SUM($O$8:$O$657))</f>
        <v/>
      </c>
      <c r="Q506" s="8" t="str">
        <f>IF(OR(O506="",'Facturas y gastos'!$B$5="",P506=""),"",O506*'Facturas y gastos'!$B$5+P506)</f>
        <v/>
      </c>
      <c r="R506" s="8" t="str">
        <f t="shared" si="15"/>
        <v/>
      </c>
    </row>
    <row r="507" spans="1:18">
      <c r="A507" s="25" t="s">
        <v>62</v>
      </c>
      <c r="B507" s="25">
        <v>122</v>
      </c>
      <c r="C507" s="25" t="s">
        <v>680</v>
      </c>
      <c r="D507" s="25" t="s">
        <v>450</v>
      </c>
      <c r="E507" s="25" t="s">
        <v>108</v>
      </c>
      <c r="F507" s="27">
        <v>300</v>
      </c>
      <c r="G507" s="27">
        <v>5</v>
      </c>
      <c r="H507" s="29">
        <v>0.75</v>
      </c>
      <c r="I507" s="29">
        <v>223.88</v>
      </c>
      <c r="J507" s="8">
        <f>IF(OR(A507="",I507=""),"",IF(SUMIFS($I$8:$I$657,$A$8:$A$657,A507)=0,"",I507*SUMIFS('Facturas y gastos'!$D$10:$D$13,'Facturas y gastos'!$A$10:$A$13,A507)/SUMIFS($I$8:$I$657,$A$8:$A$657,A507)))</f>
        <v>223.88004891721388</v>
      </c>
      <c r="K507" s="8">
        <f>IF(J507="","",IF(SUMIFS('Facturas y gastos'!$D$10:$D$13,'Facturas y gastos'!$A$10:$A$13,A507)=0,"",J507*SUMIFS('Facturas y gastos'!$G$10:$G$13,'Facturas y gastos'!$A$10:$A$13,A507)/SUMIFS('Facturas y gastos'!$D$10:$D$13,'Facturas y gastos'!$A$10:$A$13,A507)))</f>
        <v>2.2387941299343281</v>
      </c>
      <c r="L507" s="8">
        <f>IF(J507="","",IF(SUMIFS('Facturas y gastos'!$D$10:$D$13,'Facturas y gastos'!$A$10:$A$13,A507)=0,"",J507*SUMIFS('Facturas y gastos'!$H$10:$H$13,'Facturas y gastos'!$A$10:$A$13,A507)/SUMIFS('Facturas y gastos'!$D$10:$D$13,'Facturas y gastos'!$A$10:$A$13,A507)))</f>
        <v>6.7163823898029849</v>
      </c>
      <c r="M507" s="8">
        <f>IF(J507="","",IF(SUMIFS('Facturas y gastos'!$D$10:$D$13,'Facturas y gastos'!$A$10:$A$13,A507)=0,"",J507*SUMIFS('Facturas y gastos'!$I$10:$I$13,'Facturas y gastos'!$A$10:$A$13,A507)/SUMIFS('Facturas y gastos'!$D$10:$D$13,'Facturas y gastos'!$A$10:$A$13,A507)))</f>
        <v>38.644599004700311</v>
      </c>
      <c r="N507" s="8">
        <f>IF(J507="","",IF(SUMIFS('Facturas y gastos'!$D$10:$D$13,'Facturas y gastos'!$A$10:$A$13,A507)=0,"",J507*SUMIFS('Facturas y gastos'!$J$10:$J$13,'Facturas y gastos'!$A$10:$A$13,A507)/SUMIFS('Facturas y gastos'!$D$10:$D$13,'Facturas y gastos'!$A$10:$A$13,A507)))</f>
        <v>0</v>
      </c>
      <c r="O507" s="8">
        <f t="shared" si="14"/>
        <v>267.00223618178285</v>
      </c>
      <c r="P507" s="8" t="str">
        <f>IF(OR(O507="",'Facturas y gastos'!$B$24="",'Facturas y gastos'!$B$45&lt;&gt;"OK",SUM($O$8:$O$657)=0),"",O507*'Facturas y gastos'!$B$43/SUM($O$8:$O$657))</f>
        <v/>
      </c>
      <c r="Q507" s="8" t="str">
        <f>IF(OR(O507="",'Facturas y gastos'!$B$5="",P507=""),"",O507*'Facturas y gastos'!$B$5+P507)</f>
        <v/>
      </c>
      <c r="R507" s="8" t="str">
        <f t="shared" si="15"/>
        <v/>
      </c>
    </row>
    <row r="508" spans="1:18">
      <c r="A508" s="25" t="s">
        <v>62</v>
      </c>
      <c r="B508" s="25">
        <v>123</v>
      </c>
      <c r="C508" s="25" t="s">
        <v>681</v>
      </c>
      <c r="D508" s="25" t="s">
        <v>450</v>
      </c>
      <c r="E508" s="25" t="s">
        <v>108</v>
      </c>
      <c r="F508" s="27">
        <v>180</v>
      </c>
      <c r="G508" s="27">
        <v>5</v>
      </c>
      <c r="H508" s="29">
        <v>1.34</v>
      </c>
      <c r="I508" s="29">
        <v>241.79</v>
      </c>
      <c r="J508" s="8">
        <f>IF(OR(A508="",I508=""),"",IF(SUMIFS($I$8:$I$657,$A$8:$A$657,A508)=0,"",I508*SUMIFS('Facturas y gastos'!$D$10:$D$13,'Facturas y gastos'!$A$10:$A$13,A508)/SUMIFS($I$8:$I$657,$A$8:$A$657,A508)))</f>
        <v>241.79005283050361</v>
      </c>
      <c r="K508" s="8">
        <f>IF(J508="","",IF(SUMIFS('Facturas y gastos'!$D$10:$D$13,'Facturas y gastos'!$A$10:$A$13,A508)=0,"",J508*SUMIFS('Facturas y gastos'!$G$10:$G$13,'Facturas y gastos'!$A$10:$A$13,A508)/SUMIFS('Facturas y gastos'!$D$10:$D$13,'Facturas y gastos'!$A$10:$A$13,A508)))</f>
        <v>2.4178936603395624</v>
      </c>
      <c r="L508" s="8">
        <f>IF(J508="","",IF(SUMIFS('Facturas y gastos'!$D$10:$D$13,'Facturas y gastos'!$A$10:$A$13,A508)=0,"",J508*SUMIFS('Facturas y gastos'!$H$10:$H$13,'Facturas y gastos'!$A$10:$A$13,A508)/SUMIFS('Facturas y gastos'!$D$10:$D$13,'Facturas y gastos'!$A$10:$A$13,A508)))</f>
        <v>7.2536809810186869</v>
      </c>
      <c r="M508" s="8">
        <f>IF(J508="","",IF(SUMIFS('Facturas y gastos'!$D$10:$D$13,'Facturas y gastos'!$A$10:$A$13,A508)=0,"",J508*SUMIFS('Facturas y gastos'!$I$10:$I$13,'Facturas y gastos'!$A$10:$A$13,A508)/SUMIFS('Facturas y gastos'!$D$10:$D$13,'Facturas y gastos'!$A$10:$A$13,A508)))</f>
        <v>41.736097879875331</v>
      </c>
      <c r="N508" s="8">
        <f>IF(J508="","",IF(SUMIFS('Facturas y gastos'!$D$10:$D$13,'Facturas y gastos'!$A$10:$A$13,A508)=0,"",J508*SUMIFS('Facturas y gastos'!$J$10:$J$13,'Facturas y gastos'!$A$10:$A$13,A508)/SUMIFS('Facturas y gastos'!$D$10:$D$13,'Facturas y gastos'!$A$10:$A$13,A508)))</f>
        <v>0</v>
      </c>
      <c r="O508" s="8">
        <f t="shared" si="14"/>
        <v>288.36193803105806</v>
      </c>
      <c r="P508" s="8" t="str">
        <f>IF(OR(O508="",'Facturas y gastos'!$B$24="",'Facturas y gastos'!$B$45&lt;&gt;"OK",SUM($O$8:$O$657)=0),"",O508*'Facturas y gastos'!$B$43/SUM($O$8:$O$657))</f>
        <v/>
      </c>
      <c r="Q508" s="8" t="str">
        <f>IF(OR(O508="",'Facturas y gastos'!$B$5="",P508=""),"",O508*'Facturas y gastos'!$B$5+P508)</f>
        <v/>
      </c>
      <c r="R508" s="8" t="str">
        <f t="shared" si="15"/>
        <v/>
      </c>
    </row>
    <row r="509" spans="1:18">
      <c r="A509" s="25" t="s">
        <v>62</v>
      </c>
      <c r="B509" s="25">
        <v>124</v>
      </c>
      <c r="C509" s="25" t="s">
        <v>682</v>
      </c>
      <c r="D509" s="25" t="s">
        <v>669</v>
      </c>
      <c r="E509" s="25" t="s">
        <v>108</v>
      </c>
      <c r="F509" s="27">
        <v>480</v>
      </c>
      <c r="G509" s="27">
        <v>5</v>
      </c>
      <c r="H509" s="29">
        <v>0.45</v>
      </c>
      <c r="I509" s="29">
        <v>214.93</v>
      </c>
      <c r="J509" s="8">
        <f>IF(OR(A509="",I509=""),"",IF(SUMIFS($I$8:$I$657,$A$8:$A$657,A509)=0,"",I509*SUMIFS('Facturas y gastos'!$D$10:$D$13,'Facturas y gastos'!$A$10:$A$13,A509)/SUMIFS($I$8:$I$657,$A$8:$A$657,A509)))</f>
        <v>214.93004696166156</v>
      </c>
      <c r="K509" s="8">
        <f>IF(J509="","",IF(SUMIFS('Facturas y gastos'!$D$10:$D$13,'Facturas y gastos'!$A$10:$A$13,A509)=0,"",J509*SUMIFS('Facturas y gastos'!$G$10:$G$13,'Facturas y gastos'!$A$10:$A$13,A509)/SUMIFS('Facturas y gastos'!$D$10:$D$13,'Facturas y gastos'!$A$10:$A$13,A509)))</f>
        <v>2.1492943646006131</v>
      </c>
      <c r="L509" s="8">
        <f>IF(J509="","",IF(SUMIFS('Facturas y gastos'!$D$10:$D$13,'Facturas y gastos'!$A$10:$A$13,A509)=0,"",J509*SUMIFS('Facturas y gastos'!$H$10:$H$13,'Facturas y gastos'!$A$10:$A$13,A509)/SUMIFS('Facturas y gastos'!$D$10:$D$13,'Facturas y gastos'!$A$10:$A$13,A509)))</f>
        <v>6.4478830938018392</v>
      </c>
      <c r="M509" s="8">
        <f>IF(J509="","",IF(SUMIFS('Facturas y gastos'!$D$10:$D$13,'Facturas y gastos'!$A$10:$A$13,A509)=0,"",J509*SUMIFS('Facturas y gastos'!$I$10:$I$13,'Facturas y gastos'!$A$10:$A$13,A509)/SUMIFS('Facturas y gastos'!$D$10:$D$13,'Facturas y gastos'!$A$10:$A$13,A509)))</f>
        <v>37.099712632125424</v>
      </c>
      <c r="N509" s="8">
        <f>IF(J509="","",IF(SUMIFS('Facturas y gastos'!$D$10:$D$13,'Facturas y gastos'!$A$10:$A$13,A509)=0,"",J509*SUMIFS('Facturas y gastos'!$J$10:$J$13,'Facturas y gastos'!$A$10:$A$13,A509)/SUMIFS('Facturas y gastos'!$D$10:$D$13,'Facturas y gastos'!$A$10:$A$13,A509)))</f>
        <v>0</v>
      </c>
      <c r="O509" s="8">
        <f t="shared" si="14"/>
        <v>256.32834832298818</v>
      </c>
      <c r="P509" s="8" t="str">
        <f>IF(OR(O509="",'Facturas y gastos'!$B$24="",'Facturas y gastos'!$B$45&lt;&gt;"OK",SUM($O$8:$O$657)=0),"",O509*'Facturas y gastos'!$B$43/SUM($O$8:$O$657))</f>
        <v/>
      </c>
      <c r="Q509" s="8" t="str">
        <f>IF(OR(O509="",'Facturas y gastos'!$B$5="",P509=""),"",O509*'Facturas y gastos'!$B$5+P509)</f>
        <v/>
      </c>
      <c r="R509" s="8" t="str">
        <f t="shared" si="15"/>
        <v/>
      </c>
    </row>
    <row r="510" spans="1:18">
      <c r="A510" s="25" t="s">
        <v>62</v>
      </c>
      <c r="B510" s="25">
        <v>125</v>
      </c>
      <c r="C510" s="25" t="s">
        <v>683</v>
      </c>
      <c r="D510" s="25" t="s">
        <v>669</v>
      </c>
      <c r="E510" s="25" t="s">
        <v>108</v>
      </c>
      <c r="F510" s="27">
        <v>300</v>
      </c>
      <c r="G510" s="27">
        <v>5</v>
      </c>
      <c r="H510" s="29">
        <v>0.97</v>
      </c>
      <c r="I510" s="29">
        <v>291.04000000000002</v>
      </c>
      <c r="J510" s="8">
        <f>IF(OR(A510="",I510=""),"",IF(SUMIFS($I$8:$I$657,$A$8:$A$657,A510)=0,"",I510*SUMIFS('Facturas y gastos'!$D$10:$D$13,'Facturas y gastos'!$A$10:$A$13,A510)/SUMIFS($I$8:$I$657,$A$8:$A$657,A510)))</f>
        <v>291.04006359150412</v>
      </c>
      <c r="K510" s="8">
        <f>IF(J510="","",IF(SUMIFS('Facturas y gastos'!$D$10:$D$13,'Facturas y gastos'!$A$10:$A$13,A510)=0,"",J510*SUMIFS('Facturas y gastos'!$G$10:$G$13,'Facturas y gastos'!$A$10:$A$13,A510)/SUMIFS('Facturas y gastos'!$D$10:$D$13,'Facturas y gastos'!$A$10:$A$13,A510)))</f>
        <v>2.9103923690195059</v>
      </c>
      <c r="L510" s="8">
        <f>IF(J510="","",IF(SUMIFS('Facturas y gastos'!$D$10:$D$13,'Facturas y gastos'!$A$10:$A$13,A510)=0,"",J510*SUMIFS('Facturas y gastos'!$H$10:$H$13,'Facturas y gastos'!$A$10:$A$13,A510)/SUMIFS('Facturas y gastos'!$D$10:$D$13,'Facturas y gastos'!$A$10:$A$13,A510)))</f>
        <v>8.7311771070585174</v>
      </c>
      <c r="M510" s="8">
        <f>IF(J510="","",IF(SUMIFS('Facturas y gastos'!$D$10:$D$13,'Facturas y gastos'!$A$10:$A$13,A510)=0,"",J510*SUMIFS('Facturas y gastos'!$I$10:$I$13,'Facturas y gastos'!$A$10:$A$13,A510)/SUMIFS('Facturas y gastos'!$D$10:$D$13,'Facturas y gastos'!$A$10:$A$13,A510)))</f>
        <v>50.237288254100335</v>
      </c>
      <c r="N510" s="8">
        <f>IF(J510="","",IF(SUMIFS('Facturas y gastos'!$D$10:$D$13,'Facturas y gastos'!$A$10:$A$13,A510)=0,"",J510*SUMIFS('Facturas y gastos'!$J$10:$J$13,'Facturas y gastos'!$A$10:$A$13,A510)/SUMIFS('Facturas y gastos'!$D$10:$D$13,'Facturas y gastos'!$A$10:$A$13,A510)))</f>
        <v>0</v>
      </c>
      <c r="O510" s="8">
        <f t="shared" si="14"/>
        <v>347.09813658364345</v>
      </c>
      <c r="P510" s="8" t="str">
        <f>IF(OR(O510="",'Facturas y gastos'!$B$24="",'Facturas y gastos'!$B$45&lt;&gt;"OK",SUM($O$8:$O$657)=0),"",O510*'Facturas y gastos'!$B$43/SUM($O$8:$O$657))</f>
        <v/>
      </c>
      <c r="Q510" s="8" t="str">
        <f>IF(OR(O510="",'Facturas y gastos'!$B$5="",P510=""),"",O510*'Facturas y gastos'!$B$5+P510)</f>
        <v/>
      </c>
      <c r="R510" s="8" t="str">
        <f t="shared" si="15"/>
        <v/>
      </c>
    </row>
    <row r="511" spans="1:18">
      <c r="A511" s="25" t="s">
        <v>62</v>
      </c>
      <c r="B511" s="25">
        <v>126</v>
      </c>
      <c r="C511" s="25" t="s">
        <v>684</v>
      </c>
      <c r="D511" s="25" t="s">
        <v>137</v>
      </c>
      <c r="E511" s="25" t="s">
        <v>108</v>
      </c>
      <c r="F511" s="27">
        <v>720</v>
      </c>
      <c r="G511" s="27">
        <v>5</v>
      </c>
      <c r="H511" s="29">
        <v>0.37</v>
      </c>
      <c r="I511" s="29">
        <v>268.66000000000003</v>
      </c>
      <c r="J511" s="8">
        <f>IF(OR(A511="",I511=""),"",IF(SUMIFS($I$8:$I$657,$A$8:$A$657,A511)=0,"",I511*SUMIFS('Facturas y gastos'!$D$10:$D$13,'Facturas y gastos'!$A$10:$A$13,A511)/SUMIFS($I$8:$I$657,$A$8:$A$657,A511)))</f>
        <v>268.66005870153072</v>
      </c>
      <c r="K511" s="8">
        <f>IF(J511="","",IF(SUMIFS('Facturas y gastos'!$D$10:$D$13,'Facturas y gastos'!$A$10:$A$13,A511)=0,"",J511*SUMIFS('Facturas y gastos'!$G$10:$G$13,'Facturas y gastos'!$A$10:$A$13,A511)/SUMIFS('Facturas y gastos'!$D$10:$D$13,'Facturas y gastos'!$A$10:$A$13,A511)))</f>
        <v>2.6865929558163155</v>
      </c>
      <c r="L511" s="8">
        <f>IF(J511="","",IF(SUMIFS('Facturas y gastos'!$D$10:$D$13,'Facturas y gastos'!$A$10:$A$13,A511)=0,"",J511*SUMIFS('Facturas y gastos'!$H$10:$H$13,'Facturas y gastos'!$A$10:$A$13,A511)/SUMIFS('Facturas y gastos'!$D$10:$D$13,'Facturas y gastos'!$A$10:$A$13,A511)))</f>
        <v>8.0597788674489461</v>
      </c>
      <c r="M511" s="8">
        <f>IF(J511="","",IF(SUMIFS('Facturas y gastos'!$D$10:$D$13,'Facturas y gastos'!$A$10:$A$13,A511)=0,"",J511*SUMIFS('Facturas y gastos'!$I$10:$I$13,'Facturas y gastos'!$A$10:$A$13,A511)/SUMIFS('Facturas y gastos'!$D$10:$D$13,'Facturas y gastos'!$A$10:$A$13,A511)))</f>
        <v>46.374209257650477</v>
      </c>
      <c r="N511" s="8">
        <f>IF(J511="","",IF(SUMIFS('Facturas y gastos'!$D$10:$D$13,'Facturas y gastos'!$A$10:$A$13,A511)=0,"",J511*SUMIFS('Facturas y gastos'!$J$10:$J$13,'Facturas y gastos'!$A$10:$A$13,A511)/SUMIFS('Facturas y gastos'!$D$10:$D$13,'Facturas y gastos'!$A$10:$A$13,A511)))</f>
        <v>0</v>
      </c>
      <c r="O511" s="8">
        <f t="shared" si="14"/>
        <v>320.40745387081381</v>
      </c>
      <c r="P511" s="8" t="str">
        <f>IF(OR(O511="",'Facturas y gastos'!$B$24="",'Facturas y gastos'!$B$45&lt;&gt;"OK",SUM($O$8:$O$657)=0),"",O511*'Facturas y gastos'!$B$43/SUM($O$8:$O$657))</f>
        <v/>
      </c>
      <c r="Q511" s="8" t="str">
        <f>IF(OR(O511="",'Facturas y gastos'!$B$5="",P511=""),"",O511*'Facturas y gastos'!$B$5+P511)</f>
        <v/>
      </c>
      <c r="R511" s="8" t="str">
        <f t="shared" si="15"/>
        <v/>
      </c>
    </row>
    <row r="512" spans="1:18">
      <c r="A512" s="25" t="s">
        <v>62</v>
      </c>
      <c r="B512" s="25">
        <v>127</v>
      </c>
      <c r="C512" s="25" t="s">
        <v>685</v>
      </c>
      <c r="D512" s="25" t="s">
        <v>137</v>
      </c>
      <c r="E512" s="25" t="s">
        <v>108</v>
      </c>
      <c r="F512" s="27">
        <v>600</v>
      </c>
      <c r="G512" s="27">
        <v>5</v>
      </c>
      <c r="H512" s="29">
        <v>0.45</v>
      </c>
      <c r="I512" s="29">
        <v>268.66000000000003</v>
      </c>
      <c r="J512" s="8">
        <f>IF(OR(A512="",I512=""),"",IF(SUMIFS($I$8:$I$657,$A$8:$A$657,A512)=0,"",I512*SUMIFS('Facturas y gastos'!$D$10:$D$13,'Facturas y gastos'!$A$10:$A$13,A512)/SUMIFS($I$8:$I$657,$A$8:$A$657,A512)))</f>
        <v>268.66005870153072</v>
      </c>
      <c r="K512" s="8">
        <f>IF(J512="","",IF(SUMIFS('Facturas y gastos'!$D$10:$D$13,'Facturas y gastos'!$A$10:$A$13,A512)=0,"",J512*SUMIFS('Facturas y gastos'!$G$10:$G$13,'Facturas y gastos'!$A$10:$A$13,A512)/SUMIFS('Facturas y gastos'!$D$10:$D$13,'Facturas y gastos'!$A$10:$A$13,A512)))</f>
        <v>2.6865929558163155</v>
      </c>
      <c r="L512" s="8">
        <f>IF(J512="","",IF(SUMIFS('Facturas y gastos'!$D$10:$D$13,'Facturas y gastos'!$A$10:$A$13,A512)=0,"",J512*SUMIFS('Facturas y gastos'!$H$10:$H$13,'Facturas y gastos'!$A$10:$A$13,A512)/SUMIFS('Facturas y gastos'!$D$10:$D$13,'Facturas y gastos'!$A$10:$A$13,A512)))</f>
        <v>8.0597788674489461</v>
      </c>
      <c r="M512" s="8">
        <f>IF(J512="","",IF(SUMIFS('Facturas y gastos'!$D$10:$D$13,'Facturas y gastos'!$A$10:$A$13,A512)=0,"",J512*SUMIFS('Facturas y gastos'!$I$10:$I$13,'Facturas y gastos'!$A$10:$A$13,A512)/SUMIFS('Facturas y gastos'!$D$10:$D$13,'Facturas y gastos'!$A$10:$A$13,A512)))</f>
        <v>46.374209257650477</v>
      </c>
      <c r="N512" s="8">
        <f>IF(J512="","",IF(SUMIFS('Facturas y gastos'!$D$10:$D$13,'Facturas y gastos'!$A$10:$A$13,A512)=0,"",J512*SUMIFS('Facturas y gastos'!$J$10:$J$13,'Facturas y gastos'!$A$10:$A$13,A512)/SUMIFS('Facturas y gastos'!$D$10:$D$13,'Facturas y gastos'!$A$10:$A$13,A512)))</f>
        <v>0</v>
      </c>
      <c r="O512" s="8">
        <f t="shared" si="14"/>
        <v>320.40745387081381</v>
      </c>
      <c r="P512" s="8" t="str">
        <f>IF(OR(O512="",'Facturas y gastos'!$B$24="",'Facturas y gastos'!$B$45&lt;&gt;"OK",SUM($O$8:$O$657)=0),"",O512*'Facturas y gastos'!$B$43/SUM($O$8:$O$657))</f>
        <v/>
      </c>
      <c r="Q512" s="8" t="str">
        <f>IF(OR(O512="",'Facturas y gastos'!$B$5="",P512=""),"",O512*'Facturas y gastos'!$B$5+P512)</f>
        <v/>
      </c>
      <c r="R512" s="8" t="str">
        <f t="shared" si="15"/>
        <v/>
      </c>
    </row>
    <row r="513" spans="1:18">
      <c r="A513" s="25" t="s">
        <v>62</v>
      </c>
      <c r="B513" s="25">
        <v>128</v>
      </c>
      <c r="C513" s="25" t="s">
        <v>686</v>
      </c>
      <c r="D513" s="25" t="s">
        <v>137</v>
      </c>
      <c r="E513" s="25" t="s">
        <v>108</v>
      </c>
      <c r="F513" s="27">
        <v>480</v>
      </c>
      <c r="G513" s="27">
        <v>5</v>
      </c>
      <c r="H513" s="29">
        <v>0.52</v>
      </c>
      <c r="I513" s="29">
        <v>250.75</v>
      </c>
      <c r="J513" s="8">
        <f>IF(OR(A513="",I513=""),"",IF(SUMIFS($I$8:$I$657,$A$8:$A$657,A513)=0,"",I513*SUMIFS('Facturas y gastos'!$D$10:$D$13,'Facturas y gastos'!$A$10:$A$13,A513)/SUMIFS($I$8:$I$657,$A$8:$A$657,A513)))</f>
        <v>250.75005478824099</v>
      </c>
      <c r="K513" s="8">
        <f>IF(J513="","",IF(SUMIFS('Facturas y gastos'!$D$10:$D$13,'Facturas y gastos'!$A$10:$A$13,A513)=0,"",J513*SUMIFS('Facturas y gastos'!$G$10:$G$13,'Facturas y gastos'!$A$10:$A$13,A513)/SUMIFS('Facturas y gastos'!$D$10:$D$13,'Facturas y gastos'!$A$10:$A$13,A513)))</f>
        <v>2.5074934254110812</v>
      </c>
      <c r="L513" s="8">
        <f>IF(J513="","",IF(SUMIFS('Facturas y gastos'!$D$10:$D$13,'Facturas y gastos'!$A$10:$A$13,A513)=0,"",J513*SUMIFS('Facturas y gastos'!$H$10:$H$13,'Facturas y gastos'!$A$10:$A$13,A513)/SUMIFS('Facturas y gastos'!$D$10:$D$13,'Facturas y gastos'!$A$10:$A$13,A513)))</f>
        <v>7.5224802762332441</v>
      </c>
      <c r="M513" s="8">
        <f>IF(J513="","",IF(SUMIFS('Facturas y gastos'!$D$10:$D$13,'Facturas y gastos'!$A$10:$A$13,A513)=0,"",J513*SUMIFS('Facturas y gastos'!$I$10:$I$13,'Facturas y gastos'!$A$10:$A$13,A513)/SUMIFS('Facturas y gastos'!$D$10:$D$13,'Facturas y gastos'!$A$10:$A$13,A513)))</f>
        <v>43.282710382475457</v>
      </c>
      <c r="N513" s="8">
        <f>IF(J513="","",IF(SUMIFS('Facturas y gastos'!$D$10:$D$13,'Facturas y gastos'!$A$10:$A$13,A513)=0,"",J513*SUMIFS('Facturas y gastos'!$J$10:$J$13,'Facturas y gastos'!$A$10:$A$13,A513)/SUMIFS('Facturas y gastos'!$D$10:$D$13,'Facturas y gastos'!$A$10:$A$13,A513)))</f>
        <v>0</v>
      </c>
      <c r="O513" s="8">
        <f t="shared" si="14"/>
        <v>299.0477520215386</v>
      </c>
      <c r="P513" s="8" t="str">
        <f>IF(OR(O513="",'Facturas y gastos'!$B$24="",'Facturas y gastos'!$B$45&lt;&gt;"OK",SUM($O$8:$O$657)=0),"",O513*'Facturas y gastos'!$B$43/SUM($O$8:$O$657))</f>
        <v/>
      </c>
      <c r="Q513" s="8" t="str">
        <f>IF(OR(O513="",'Facturas y gastos'!$B$5="",P513=""),"",O513*'Facturas y gastos'!$B$5+P513)</f>
        <v/>
      </c>
      <c r="R513" s="8" t="str">
        <f t="shared" si="15"/>
        <v/>
      </c>
    </row>
    <row r="514" spans="1:18">
      <c r="A514" s="20"/>
      <c r="B514" s="20"/>
      <c r="C514" s="20"/>
      <c r="D514" s="20"/>
      <c r="E514" s="20"/>
      <c r="F514" s="30"/>
      <c r="G514" s="30"/>
      <c r="H514" s="21"/>
      <c r="I514" s="21"/>
      <c r="J514" s="8" t="str">
        <f>IF(OR(A514="",I514=""),"",IF(SUMIFS($I$8:$I$657,$A$8:$A$657,A514)=0,"",I514*SUMIFS('Facturas y gastos'!$D$10:$D$13,'Facturas y gastos'!$A$10:$A$13,A514)/SUMIFS($I$8:$I$657,$A$8:$A$657,A514)))</f>
        <v/>
      </c>
      <c r="K514" s="8" t="str">
        <f>IF(J514="","",IF(SUMIFS('Facturas y gastos'!$D$10:$D$13,'Facturas y gastos'!$A$10:$A$13,A514)=0,"",J514*SUMIFS('Facturas y gastos'!$G$10:$G$13,'Facturas y gastos'!$A$10:$A$13,A514)/SUMIFS('Facturas y gastos'!$D$10:$D$13,'Facturas y gastos'!$A$10:$A$13,A514)))</f>
        <v/>
      </c>
      <c r="L514" s="8" t="str">
        <f>IF(J514="","",IF(SUMIFS('Facturas y gastos'!$D$10:$D$13,'Facturas y gastos'!$A$10:$A$13,A514)=0,"",J514*SUMIFS('Facturas y gastos'!$H$10:$H$13,'Facturas y gastos'!$A$10:$A$13,A514)/SUMIFS('Facturas y gastos'!$D$10:$D$13,'Facturas y gastos'!$A$10:$A$13,A514)))</f>
        <v/>
      </c>
      <c r="M514" s="8" t="str">
        <f>IF(J514="","",IF(SUMIFS('Facturas y gastos'!$D$10:$D$13,'Facturas y gastos'!$A$10:$A$13,A514)=0,"",J514*SUMIFS('Facturas y gastos'!$I$10:$I$13,'Facturas y gastos'!$A$10:$A$13,A514)/SUMIFS('Facturas y gastos'!$D$10:$D$13,'Facturas y gastos'!$A$10:$A$13,A514)))</f>
        <v/>
      </c>
      <c r="N514" s="8" t="str">
        <f>IF(J514="","",IF(SUMIFS('Facturas y gastos'!$D$10:$D$13,'Facturas y gastos'!$A$10:$A$13,A514)=0,"",J514*SUMIFS('Facturas y gastos'!$J$10:$J$13,'Facturas y gastos'!$A$10:$A$13,A514)/SUMIFS('Facturas y gastos'!$D$10:$D$13,'Facturas y gastos'!$A$10:$A$13,A514)))</f>
        <v/>
      </c>
      <c r="O514" s="8" t="str">
        <f t="shared" si="14"/>
        <v/>
      </c>
      <c r="P514" s="8" t="str">
        <f>IF(OR(O514="",'Facturas y gastos'!$B$24="",'Facturas y gastos'!$B$45&lt;&gt;"OK",SUM($O$8:$O$657)=0),"",O514*'Facturas y gastos'!$B$43/SUM($O$8:$O$657))</f>
        <v/>
      </c>
      <c r="Q514" s="8" t="str">
        <f>IF(OR(O514="",'Facturas y gastos'!$B$5="",P514=""),"",O514*'Facturas y gastos'!$B$5+P514)</f>
        <v/>
      </c>
      <c r="R514" s="8" t="str">
        <f t="shared" si="15"/>
        <v/>
      </c>
    </row>
    <row r="515" spans="1:18">
      <c r="A515" s="20"/>
      <c r="B515" s="20"/>
      <c r="C515" s="20"/>
      <c r="D515" s="20"/>
      <c r="E515" s="20"/>
      <c r="F515" s="30"/>
      <c r="G515" s="30"/>
      <c r="H515" s="21"/>
      <c r="I515" s="21"/>
      <c r="J515" s="8" t="str">
        <f>IF(OR(A515="",I515=""),"",IF(SUMIFS($I$8:$I$657,$A$8:$A$657,A515)=0,"",I515*SUMIFS('Facturas y gastos'!$D$10:$D$13,'Facturas y gastos'!$A$10:$A$13,A515)/SUMIFS($I$8:$I$657,$A$8:$A$657,A515)))</f>
        <v/>
      </c>
      <c r="K515" s="8" t="str">
        <f>IF(J515="","",IF(SUMIFS('Facturas y gastos'!$D$10:$D$13,'Facturas y gastos'!$A$10:$A$13,A515)=0,"",J515*SUMIFS('Facturas y gastos'!$G$10:$G$13,'Facturas y gastos'!$A$10:$A$13,A515)/SUMIFS('Facturas y gastos'!$D$10:$D$13,'Facturas y gastos'!$A$10:$A$13,A515)))</f>
        <v/>
      </c>
      <c r="L515" s="8" t="str">
        <f>IF(J515="","",IF(SUMIFS('Facturas y gastos'!$D$10:$D$13,'Facturas y gastos'!$A$10:$A$13,A515)=0,"",J515*SUMIFS('Facturas y gastos'!$H$10:$H$13,'Facturas y gastos'!$A$10:$A$13,A515)/SUMIFS('Facturas y gastos'!$D$10:$D$13,'Facturas y gastos'!$A$10:$A$13,A515)))</f>
        <v/>
      </c>
      <c r="M515" s="8" t="str">
        <f>IF(J515="","",IF(SUMIFS('Facturas y gastos'!$D$10:$D$13,'Facturas y gastos'!$A$10:$A$13,A515)=0,"",J515*SUMIFS('Facturas y gastos'!$I$10:$I$13,'Facturas y gastos'!$A$10:$A$13,A515)/SUMIFS('Facturas y gastos'!$D$10:$D$13,'Facturas y gastos'!$A$10:$A$13,A515)))</f>
        <v/>
      </c>
      <c r="N515" s="8" t="str">
        <f>IF(J515="","",IF(SUMIFS('Facturas y gastos'!$D$10:$D$13,'Facturas y gastos'!$A$10:$A$13,A515)=0,"",J515*SUMIFS('Facturas y gastos'!$J$10:$J$13,'Facturas y gastos'!$A$10:$A$13,A515)/SUMIFS('Facturas y gastos'!$D$10:$D$13,'Facturas y gastos'!$A$10:$A$13,A515)))</f>
        <v/>
      </c>
      <c r="O515" s="8" t="str">
        <f t="shared" si="14"/>
        <v/>
      </c>
      <c r="P515" s="8" t="str">
        <f>IF(OR(O515="",'Facturas y gastos'!$B$24="",'Facturas y gastos'!$B$45&lt;&gt;"OK",SUM($O$8:$O$657)=0),"",O515*'Facturas y gastos'!$B$43/SUM($O$8:$O$657))</f>
        <v/>
      </c>
      <c r="Q515" s="8" t="str">
        <f>IF(OR(O515="",'Facturas y gastos'!$B$5="",P515=""),"",O515*'Facturas y gastos'!$B$5+P515)</f>
        <v/>
      </c>
      <c r="R515" s="8" t="str">
        <f t="shared" si="15"/>
        <v/>
      </c>
    </row>
    <row r="516" spans="1:18">
      <c r="A516" s="20"/>
      <c r="B516" s="20"/>
      <c r="C516" s="20"/>
      <c r="D516" s="20"/>
      <c r="E516" s="20"/>
      <c r="F516" s="30"/>
      <c r="G516" s="30"/>
      <c r="H516" s="21"/>
      <c r="I516" s="21"/>
      <c r="J516" s="8" t="str">
        <f>IF(OR(A516="",I516=""),"",IF(SUMIFS($I$8:$I$657,$A$8:$A$657,A516)=0,"",I516*SUMIFS('Facturas y gastos'!$D$10:$D$13,'Facturas y gastos'!$A$10:$A$13,A516)/SUMIFS($I$8:$I$657,$A$8:$A$657,A516)))</f>
        <v/>
      </c>
      <c r="K516" s="8" t="str">
        <f>IF(J516="","",IF(SUMIFS('Facturas y gastos'!$D$10:$D$13,'Facturas y gastos'!$A$10:$A$13,A516)=0,"",J516*SUMIFS('Facturas y gastos'!$G$10:$G$13,'Facturas y gastos'!$A$10:$A$13,A516)/SUMIFS('Facturas y gastos'!$D$10:$D$13,'Facturas y gastos'!$A$10:$A$13,A516)))</f>
        <v/>
      </c>
      <c r="L516" s="8" t="str">
        <f>IF(J516="","",IF(SUMIFS('Facturas y gastos'!$D$10:$D$13,'Facturas y gastos'!$A$10:$A$13,A516)=0,"",J516*SUMIFS('Facturas y gastos'!$H$10:$H$13,'Facturas y gastos'!$A$10:$A$13,A516)/SUMIFS('Facturas y gastos'!$D$10:$D$13,'Facturas y gastos'!$A$10:$A$13,A516)))</f>
        <v/>
      </c>
      <c r="M516" s="8" t="str">
        <f>IF(J516="","",IF(SUMIFS('Facturas y gastos'!$D$10:$D$13,'Facturas y gastos'!$A$10:$A$13,A516)=0,"",J516*SUMIFS('Facturas y gastos'!$I$10:$I$13,'Facturas y gastos'!$A$10:$A$13,A516)/SUMIFS('Facturas y gastos'!$D$10:$D$13,'Facturas y gastos'!$A$10:$A$13,A516)))</f>
        <v/>
      </c>
      <c r="N516" s="8" t="str">
        <f>IF(J516="","",IF(SUMIFS('Facturas y gastos'!$D$10:$D$13,'Facturas y gastos'!$A$10:$A$13,A516)=0,"",J516*SUMIFS('Facturas y gastos'!$J$10:$J$13,'Facturas y gastos'!$A$10:$A$13,A516)/SUMIFS('Facturas y gastos'!$D$10:$D$13,'Facturas y gastos'!$A$10:$A$13,A516)))</f>
        <v/>
      </c>
      <c r="O516" s="8" t="str">
        <f t="shared" si="14"/>
        <v/>
      </c>
      <c r="P516" s="8" t="str">
        <f>IF(OR(O516="",'Facturas y gastos'!$B$24="",'Facturas y gastos'!$B$45&lt;&gt;"OK",SUM($O$8:$O$657)=0),"",O516*'Facturas y gastos'!$B$43/SUM($O$8:$O$657))</f>
        <v/>
      </c>
      <c r="Q516" s="8" t="str">
        <f>IF(OR(O516="",'Facturas y gastos'!$B$5="",P516=""),"",O516*'Facturas y gastos'!$B$5+P516)</f>
        <v/>
      </c>
      <c r="R516" s="8" t="str">
        <f t="shared" si="15"/>
        <v/>
      </c>
    </row>
    <row r="517" spans="1:18">
      <c r="A517" s="20"/>
      <c r="B517" s="20"/>
      <c r="C517" s="20"/>
      <c r="D517" s="20"/>
      <c r="E517" s="20"/>
      <c r="F517" s="30"/>
      <c r="G517" s="30"/>
      <c r="H517" s="21"/>
      <c r="I517" s="21"/>
      <c r="J517" s="8" t="str">
        <f>IF(OR(A517="",I517=""),"",IF(SUMIFS($I$8:$I$657,$A$8:$A$657,A517)=0,"",I517*SUMIFS('Facturas y gastos'!$D$10:$D$13,'Facturas y gastos'!$A$10:$A$13,A517)/SUMIFS($I$8:$I$657,$A$8:$A$657,A517)))</f>
        <v/>
      </c>
      <c r="K517" s="8" t="str">
        <f>IF(J517="","",IF(SUMIFS('Facturas y gastos'!$D$10:$D$13,'Facturas y gastos'!$A$10:$A$13,A517)=0,"",J517*SUMIFS('Facturas y gastos'!$G$10:$G$13,'Facturas y gastos'!$A$10:$A$13,A517)/SUMIFS('Facturas y gastos'!$D$10:$D$13,'Facturas y gastos'!$A$10:$A$13,A517)))</f>
        <v/>
      </c>
      <c r="L517" s="8" t="str">
        <f>IF(J517="","",IF(SUMIFS('Facturas y gastos'!$D$10:$D$13,'Facturas y gastos'!$A$10:$A$13,A517)=0,"",J517*SUMIFS('Facturas y gastos'!$H$10:$H$13,'Facturas y gastos'!$A$10:$A$13,A517)/SUMIFS('Facturas y gastos'!$D$10:$D$13,'Facturas y gastos'!$A$10:$A$13,A517)))</f>
        <v/>
      </c>
      <c r="M517" s="8" t="str">
        <f>IF(J517="","",IF(SUMIFS('Facturas y gastos'!$D$10:$D$13,'Facturas y gastos'!$A$10:$A$13,A517)=0,"",J517*SUMIFS('Facturas y gastos'!$I$10:$I$13,'Facturas y gastos'!$A$10:$A$13,A517)/SUMIFS('Facturas y gastos'!$D$10:$D$13,'Facturas y gastos'!$A$10:$A$13,A517)))</f>
        <v/>
      </c>
      <c r="N517" s="8" t="str">
        <f>IF(J517="","",IF(SUMIFS('Facturas y gastos'!$D$10:$D$13,'Facturas y gastos'!$A$10:$A$13,A517)=0,"",J517*SUMIFS('Facturas y gastos'!$J$10:$J$13,'Facturas y gastos'!$A$10:$A$13,A517)/SUMIFS('Facturas y gastos'!$D$10:$D$13,'Facturas y gastos'!$A$10:$A$13,A517)))</f>
        <v/>
      </c>
      <c r="O517" s="8" t="str">
        <f t="shared" si="14"/>
        <v/>
      </c>
      <c r="P517" s="8" t="str">
        <f>IF(OR(O517="",'Facturas y gastos'!$B$24="",'Facturas y gastos'!$B$45&lt;&gt;"OK",SUM($O$8:$O$657)=0),"",O517*'Facturas y gastos'!$B$43/SUM($O$8:$O$657))</f>
        <v/>
      </c>
      <c r="Q517" s="8" t="str">
        <f>IF(OR(O517="",'Facturas y gastos'!$B$5="",P517=""),"",O517*'Facturas y gastos'!$B$5+P517)</f>
        <v/>
      </c>
      <c r="R517" s="8" t="str">
        <f t="shared" si="15"/>
        <v/>
      </c>
    </row>
    <row r="518" spans="1:18">
      <c r="A518" s="20"/>
      <c r="B518" s="20"/>
      <c r="C518" s="20"/>
      <c r="D518" s="20"/>
      <c r="E518" s="20"/>
      <c r="F518" s="30"/>
      <c r="G518" s="30"/>
      <c r="H518" s="21"/>
      <c r="I518" s="21"/>
      <c r="J518" s="8" t="str">
        <f>IF(OR(A518="",I518=""),"",IF(SUMIFS($I$8:$I$657,$A$8:$A$657,A518)=0,"",I518*SUMIFS('Facturas y gastos'!$D$10:$D$13,'Facturas y gastos'!$A$10:$A$13,A518)/SUMIFS($I$8:$I$657,$A$8:$A$657,A518)))</f>
        <v/>
      </c>
      <c r="K518" s="8" t="str">
        <f>IF(J518="","",IF(SUMIFS('Facturas y gastos'!$D$10:$D$13,'Facturas y gastos'!$A$10:$A$13,A518)=0,"",J518*SUMIFS('Facturas y gastos'!$G$10:$G$13,'Facturas y gastos'!$A$10:$A$13,A518)/SUMIFS('Facturas y gastos'!$D$10:$D$13,'Facturas y gastos'!$A$10:$A$13,A518)))</f>
        <v/>
      </c>
      <c r="L518" s="8" t="str">
        <f>IF(J518="","",IF(SUMIFS('Facturas y gastos'!$D$10:$D$13,'Facturas y gastos'!$A$10:$A$13,A518)=0,"",J518*SUMIFS('Facturas y gastos'!$H$10:$H$13,'Facturas y gastos'!$A$10:$A$13,A518)/SUMIFS('Facturas y gastos'!$D$10:$D$13,'Facturas y gastos'!$A$10:$A$13,A518)))</f>
        <v/>
      </c>
      <c r="M518" s="8" t="str">
        <f>IF(J518="","",IF(SUMIFS('Facturas y gastos'!$D$10:$D$13,'Facturas y gastos'!$A$10:$A$13,A518)=0,"",J518*SUMIFS('Facturas y gastos'!$I$10:$I$13,'Facturas y gastos'!$A$10:$A$13,A518)/SUMIFS('Facturas y gastos'!$D$10:$D$13,'Facturas y gastos'!$A$10:$A$13,A518)))</f>
        <v/>
      </c>
      <c r="N518" s="8" t="str">
        <f>IF(J518="","",IF(SUMIFS('Facturas y gastos'!$D$10:$D$13,'Facturas y gastos'!$A$10:$A$13,A518)=0,"",J518*SUMIFS('Facturas y gastos'!$J$10:$J$13,'Facturas y gastos'!$A$10:$A$13,A518)/SUMIFS('Facturas y gastos'!$D$10:$D$13,'Facturas y gastos'!$A$10:$A$13,A518)))</f>
        <v/>
      </c>
      <c r="O518" s="8" t="str">
        <f t="shared" si="14"/>
        <v/>
      </c>
      <c r="P518" s="8" t="str">
        <f>IF(OR(O518="",'Facturas y gastos'!$B$24="",'Facturas y gastos'!$B$45&lt;&gt;"OK",SUM($O$8:$O$657)=0),"",O518*'Facturas y gastos'!$B$43/SUM($O$8:$O$657))</f>
        <v/>
      </c>
      <c r="Q518" s="8" t="str">
        <f>IF(OR(O518="",'Facturas y gastos'!$B$5="",P518=""),"",O518*'Facturas y gastos'!$B$5+P518)</f>
        <v/>
      </c>
      <c r="R518" s="8" t="str">
        <f t="shared" si="15"/>
        <v/>
      </c>
    </row>
    <row r="519" spans="1:18">
      <c r="A519" s="20"/>
      <c r="B519" s="20"/>
      <c r="C519" s="20"/>
      <c r="D519" s="20"/>
      <c r="E519" s="20"/>
      <c r="F519" s="30"/>
      <c r="G519" s="30"/>
      <c r="H519" s="21"/>
      <c r="I519" s="21"/>
      <c r="J519" s="8" t="str">
        <f>IF(OR(A519="",I519=""),"",IF(SUMIFS($I$8:$I$657,$A$8:$A$657,A519)=0,"",I519*SUMIFS('Facturas y gastos'!$D$10:$D$13,'Facturas y gastos'!$A$10:$A$13,A519)/SUMIFS($I$8:$I$657,$A$8:$A$657,A519)))</f>
        <v/>
      </c>
      <c r="K519" s="8" t="str">
        <f>IF(J519="","",IF(SUMIFS('Facturas y gastos'!$D$10:$D$13,'Facturas y gastos'!$A$10:$A$13,A519)=0,"",J519*SUMIFS('Facturas y gastos'!$G$10:$G$13,'Facturas y gastos'!$A$10:$A$13,A519)/SUMIFS('Facturas y gastos'!$D$10:$D$13,'Facturas y gastos'!$A$10:$A$13,A519)))</f>
        <v/>
      </c>
      <c r="L519" s="8" t="str">
        <f>IF(J519="","",IF(SUMIFS('Facturas y gastos'!$D$10:$D$13,'Facturas y gastos'!$A$10:$A$13,A519)=0,"",J519*SUMIFS('Facturas y gastos'!$H$10:$H$13,'Facturas y gastos'!$A$10:$A$13,A519)/SUMIFS('Facturas y gastos'!$D$10:$D$13,'Facturas y gastos'!$A$10:$A$13,A519)))</f>
        <v/>
      </c>
      <c r="M519" s="8" t="str">
        <f>IF(J519="","",IF(SUMIFS('Facturas y gastos'!$D$10:$D$13,'Facturas y gastos'!$A$10:$A$13,A519)=0,"",J519*SUMIFS('Facturas y gastos'!$I$10:$I$13,'Facturas y gastos'!$A$10:$A$13,A519)/SUMIFS('Facturas y gastos'!$D$10:$D$13,'Facturas y gastos'!$A$10:$A$13,A519)))</f>
        <v/>
      </c>
      <c r="N519" s="8" t="str">
        <f>IF(J519="","",IF(SUMIFS('Facturas y gastos'!$D$10:$D$13,'Facturas y gastos'!$A$10:$A$13,A519)=0,"",J519*SUMIFS('Facturas y gastos'!$J$10:$J$13,'Facturas y gastos'!$A$10:$A$13,A519)/SUMIFS('Facturas y gastos'!$D$10:$D$13,'Facturas y gastos'!$A$10:$A$13,A519)))</f>
        <v/>
      </c>
      <c r="O519" s="8" t="str">
        <f t="shared" si="14"/>
        <v/>
      </c>
      <c r="P519" s="8" t="str">
        <f>IF(OR(O519="",'Facturas y gastos'!$B$24="",'Facturas y gastos'!$B$45&lt;&gt;"OK",SUM($O$8:$O$657)=0),"",O519*'Facturas y gastos'!$B$43/SUM($O$8:$O$657))</f>
        <v/>
      </c>
      <c r="Q519" s="8" t="str">
        <f>IF(OR(O519="",'Facturas y gastos'!$B$5="",P519=""),"",O519*'Facturas y gastos'!$B$5+P519)</f>
        <v/>
      </c>
      <c r="R519" s="8" t="str">
        <f t="shared" si="15"/>
        <v/>
      </c>
    </row>
    <row r="520" spans="1:18">
      <c r="A520" s="20"/>
      <c r="B520" s="20"/>
      <c r="C520" s="20"/>
      <c r="D520" s="20"/>
      <c r="E520" s="20"/>
      <c r="F520" s="30"/>
      <c r="G520" s="30"/>
      <c r="H520" s="21"/>
      <c r="I520" s="21"/>
      <c r="J520" s="8" t="str">
        <f>IF(OR(A520="",I520=""),"",IF(SUMIFS($I$8:$I$657,$A$8:$A$657,A520)=0,"",I520*SUMIFS('Facturas y gastos'!$D$10:$D$13,'Facturas y gastos'!$A$10:$A$13,A520)/SUMIFS($I$8:$I$657,$A$8:$A$657,A520)))</f>
        <v/>
      </c>
      <c r="K520" s="8" t="str">
        <f>IF(J520="","",IF(SUMIFS('Facturas y gastos'!$D$10:$D$13,'Facturas y gastos'!$A$10:$A$13,A520)=0,"",J520*SUMIFS('Facturas y gastos'!$G$10:$G$13,'Facturas y gastos'!$A$10:$A$13,A520)/SUMIFS('Facturas y gastos'!$D$10:$D$13,'Facturas y gastos'!$A$10:$A$13,A520)))</f>
        <v/>
      </c>
      <c r="L520" s="8" t="str">
        <f>IF(J520="","",IF(SUMIFS('Facturas y gastos'!$D$10:$D$13,'Facturas y gastos'!$A$10:$A$13,A520)=0,"",J520*SUMIFS('Facturas y gastos'!$H$10:$H$13,'Facturas y gastos'!$A$10:$A$13,A520)/SUMIFS('Facturas y gastos'!$D$10:$D$13,'Facturas y gastos'!$A$10:$A$13,A520)))</f>
        <v/>
      </c>
      <c r="M520" s="8" t="str">
        <f>IF(J520="","",IF(SUMIFS('Facturas y gastos'!$D$10:$D$13,'Facturas y gastos'!$A$10:$A$13,A520)=0,"",J520*SUMIFS('Facturas y gastos'!$I$10:$I$13,'Facturas y gastos'!$A$10:$A$13,A520)/SUMIFS('Facturas y gastos'!$D$10:$D$13,'Facturas y gastos'!$A$10:$A$13,A520)))</f>
        <v/>
      </c>
      <c r="N520" s="8" t="str">
        <f>IF(J520="","",IF(SUMIFS('Facturas y gastos'!$D$10:$D$13,'Facturas y gastos'!$A$10:$A$13,A520)=0,"",J520*SUMIFS('Facturas y gastos'!$J$10:$J$13,'Facturas y gastos'!$A$10:$A$13,A520)/SUMIFS('Facturas y gastos'!$D$10:$D$13,'Facturas y gastos'!$A$10:$A$13,A520)))</f>
        <v/>
      </c>
      <c r="O520" s="8" t="str">
        <f t="shared" ref="O520:O583" si="16">IF(J520="","",J520-K520+L520+M520+N520)</f>
        <v/>
      </c>
      <c r="P520" s="8" t="str">
        <f>IF(OR(O520="",'Facturas y gastos'!$B$24="",'Facturas y gastos'!$B$45&lt;&gt;"OK",SUM($O$8:$O$657)=0),"",O520*'Facturas y gastos'!$B$43/SUM($O$8:$O$657))</f>
        <v/>
      </c>
      <c r="Q520" s="8" t="str">
        <f>IF(OR(O520="",'Facturas y gastos'!$B$5="",P520=""),"",O520*'Facturas y gastos'!$B$5+P520)</f>
        <v/>
      </c>
      <c r="R520" s="8" t="str">
        <f t="shared" ref="R520:R583" si="17">IF(OR(Q520="",F520="",F520=0),"",Q520/F520)</f>
        <v/>
      </c>
    </row>
    <row r="521" spans="1:18">
      <c r="A521" s="20"/>
      <c r="B521" s="20"/>
      <c r="C521" s="20"/>
      <c r="D521" s="20"/>
      <c r="E521" s="20"/>
      <c r="F521" s="30"/>
      <c r="G521" s="30"/>
      <c r="H521" s="21"/>
      <c r="I521" s="21"/>
      <c r="J521" s="8" t="str">
        <f>IF(OR(A521="",I521=""),"",IF(SUMIFS($I$8:$I$657,$A$8:$A$657,A521)=0,"",I521*SUMIFS('Facturas y gastos'!$D$10:$D$13,'Facturas y gastos'!$A$10:$A$13,A521)/SUMIFS($I$8:$I$657,$A$8:$A$657,A521)))</f>
        <v/>
      </c>
      <c r="K521" s="8" t="str">
        <f>IF(J521="","",IF(SUMIFS('Facturas y gastos'!$D$10:$D$13,'Facturas y gastos'!$A$10:$A$13,A521)=0,"",J521*SUMIFS('Facturas y gastos'!$G$10:$G$13,'Facturas y gastos'!$A$10:$A$13,A521)/SUMIFS('Facturas y gastos'!$D$10:$D$13,'Facturas y gastos'!$A$10:$A$13,A521)))</f>
        <v/>
      </c>
      <c r="L521" s="8" t="str">
        <f>IF(J521="","",IF(SUMIFS('Facturas y gastos'!$D$10:$D$13,'Facturas y gastos'!$A$10:$A$13,A521)=0,"",J521*SUMIFS('Facturas y gastos'!$H$10:$H$13,'Facturas y gastos'!$A$10:$A$13,A521)/SUMIFS('Facturas y gastos'!$D$10:$D$13,'Facturas y gastos'!$A$10:$A$13,A521)))</f>
        <v/>
      </c>
      <c r="M521" s="8" t="str">
        <f>IF(J521="","",IF(SUMIFS('Facturas y gastos'!$D$10:$D$13,'Facturas y gastos'!$A$10:$A$13,A521)=0,"",J521*SUMIFS('Facturas y gastos'!$I$10:$I$13,'Facturas y gastos'!$A$10:$A$13,A521)/SUMIFS('Facturas y gastos'!$D$10:$D$13,'Facturas y gastos'!$A$10:$A$13,A521)))</f>
        <v/>
      </c>
      <c r="N521" s="8" t="str">
        <f>IF(J521="","",IF(SUMIFS('Facturas y gastos'!$D$10:$D$13,'Facturas y gastos'!$A$10:$A$13,A521)=0,"",J521*SUMIFS('Facturas y gastos'!$J$10:$J$13,'Facturas y gastos'!$A$10:$A$13,A521)/SUMIFS('Facturas y gastos'!$D$10:$D$13,'Facturas y gastos'!$A$10:$A$13,A521)))</f>
        <v/>
      </c>
      <c r="O521" s="8" t="str">
        <f t="shared" si="16"/>
        <v/>
      </c>
      <c r="P521" s="8" t="str">
        <f>IF(OR(O521="",'Facturas y gastos'!$B$24="",'Facturas y gastos'!$B$45&lt;&gt;"OK",SUM($O$8:$O$657)=0),"",O521*'Facturas y gastos'!$B$43/SUM($O$8:$O$657))</f>
        <v/>
      </c>
      <c r="Q521" s="8" t="str">
        <f>IF(OR(O521="",'Facturas y gastos'!$B$5="",P521=""),"",O521*'Facturas y gastos'!$B$5+P521)</f>
        <v/>
      </c>
      <c r="R521" s="8" t="str">
        <f t="shared" si="17"/>
        <v/>
      </c>
    </row>
    <row r="522" spans="1:18">
      <c r="A522" s="20"/>
      <c r="B522" s="20"/>
      <c r="C522" s="20"/>
      <c r="D522" s="20"/>
      <c r="E522" s="20"/>
      <c r="F522" s="30"/>
      <c r="G522" s="30"/>
      <c r="H522" s="21"/>
      <c r="I522" s="21"/>
      <c r="J522" s="8" t="str">
        <f>IF(OR(A522="",I522=""),"",IF(SUMIFS($I$8:$I$657,$A$8:$A$657,A522)=0,"",I522*SUMIFS('Facturas y gastos'!$D$10:$D$13,'Facturas y gastos'!$A$10:$A$13,A522)/SUMIFS($I$8:$I$657,$A$8:$A$657,A522)))</f>
        <v/>
      </c>
      <c r="K522" s="8" t="str">
        <f>IF(J522="","",IF(SUMIFS('Facturas y gastos'!$D$10:$D$13,'Facturas y gastos'!$A$10:$A$13,A522)=0,"",J522*SUMIFS('Facturas y gastos'!$G$10:$G$13,'Facturas y gastos'!$A$10:$A$13,A522)/SUMIFS('Facturas y gastos'!$D$10:$D$13,'Facturas y gastos'!$A$10:$A$13,A522)))</f>
        <v/>
      </c>
      <c r="L522" s="8" t="str">
        <f>IF(J522="","",IF(SUMIFS('Facturas y gastos'!$D$10:$D$13,'Facturas y gastos'!$A$10:$A$13,A522)=0,"",J522*SUMIFS('Facturas y gastos'!$H$10:$H$13,'Facturas y gastos'!$A$10:$A$13,A522)/SUMIFS('Facturas y gastos'!$D$10:$D$13,'Facturas y gastos'!$A$10:$A$13,A522)))</f>
        <v/>
      </c>
      <c r="M522" s="8" t="str">
        <f>IF(J522="","",IF(SUMIFS('Facturas y gastos'!$D$10:$D$13,'Facturas y gastos'!$A$10:$A$13,A522)=0,"",J522*SUMIFS('Facturas y gastos'!$I$10:$I$13,'Facturas y gastos'!$A$10:$A$13,A522)/SUMIFS('Facturas y gastos'!$D$10:$D$13,'Facturas y gastos'!$A$10:$A$13,A522)))</f>
        <v/>
      </c>
      <c r="N522" s="8" t="str">
        <f>IF(J522="","",IF(SUMIFS('Facturas y gastos'!$D$10:$D$13,'Facturas y gastos'!$A$10:$A$13,A522)=0,"",J522*SUMIFS('Facturas y gastos'!$J$10:$J$13,'Facturas y gastos'!$A$10:$A$13,A522)/SUMIFS('Facturas y gastos'!$D$10:$D$13,'Facturas y gastos'!$A$10:$A$13,A522)))</f>
        <v/>
      </c>
      <c r="O522" s="8" t="str">
        <f t="shared" si="16"/>
        <v/>
      </c>
      <c r="P522" s="8" t="str">
        <f>IF(OR(O522="",'Facturas y gastos'!$B$24="",'Facturas y gastos'!$B$45&lt;&gt;"OK",SUM($O$8:$O$657)=0),"",O522*'Facturas y gastos'!$B$43/SUM($O$8:$O$657))</f>
        <v/>
      </c>
      <c r="Q522" s="8" t="str">
        <f>IF(OR(O522="",'Facturas y gastos'!$B$5="",P522=""),"",O522*'Facturas y gastos'!$B$5+P522)</f>
        <v/>
      </c>
      <c r="R522" s="8" t="str">
        <f t="shared" si="17"/>
        <v/>
      </c>
    </row>
    <row r="523" spans="1:18">
      <c r="A523" s="20"/>
      <c r="B523" s="20"/>
      <c r="C523" s="20"/>
      <c r="D523" s="20"/>
      <c r="E523" s="20"/>
      <c r="F523" s="30"/>
      <c r="G523" s="30"/>
      <c r="H523" s="21"/>
      <c r="I523" s="21"/>
      <c r="J523" s="8" t="str">
        <f>IF(OR(A523="",I523=""),"",IF(SUMIFS($I$8:$I$657,$A$8:$A$657,A523)=0,"",I523*SUMIFS('Facturas y gastos'!$D$10:$D$13,'Facturas y gastos'!$A$10:$A$13,A523)/SUMIFS($I$8:$I$657,$A$8:$A$657,A523)))</f>
        <v/>
      </c>
      <c r="K523" s="8" t="str">
        <f>IF(J523="","",IF(SUMIFS('Facturas y gastos'!$D$10:$D$13,'Facturas y gastos'!$A$10:$A$13,A523)=0,"",J523*SUMIFS('Facturas y gastos'!$G$10:$G$13,'Facturas y gastos'!$A$10:$A$13,A523)/SUMIFS('Facturas y gastos'!$D$10:$D$13,'Facturas y gastos'!$A$10:$A$13,A523)))</f>
        <v/>
      </c>
      <c r="L523" s="8" t="str">
        <f>IF(J523="","",IF(SUMIFS('Facturas y gastos'!$D$10:$D$13,'Facturas y gastos'!$A$10:$A$13,A523)=0,"",J523*SUMIFS('Facturas y gastos'!$H$10:$H$13,'Facturas y gastos'!$A$10:$A$13,A523)/SUMIFS('Facturas y gastos'!$D$10:$D$13,'Facturas y gastos'!$A$10:$A$13,A523)))</f>
        <v/>
      </c>
      <c r="M523" s="8" t="str">
        <f>IF(J523="","",IF(SUMIFS('Facturas y gastos'!$D$10:$D$13,'Facturas y gastos'!$A$10:$A$13,A523)=0,"",J523*SUMIFS('Facturas y gastos'!$I$10:$I$13,'Facturas y gastos'!$A$10:$A$13,A523)/SUMIFS('Facturas y gastos'!$D$10:$D$13,'Facturas y gastos'!$A$10:$A$13,A523)))</f>
        <v/>
      </c>
      <c r="N523" s="8" t="str">
        <f>IF(J523="","",IF(SUMIFS('Facturas y gastos'!$D$10:$D$13,'Facturas y gastos'!$A$10:$A$13,A523)=0,"",J523*SUMIFS('Facturas y gastos'!$J$10:$J$13,'Facturas y gastos'!$A$10:$A$13,A523)/SUMIFS('Facturas y gastos'!$D$10:$D$13,'Facturas y gastos'!$A$10:$A$13,A523)))</f>
        <v/>
      </c>
      <c r="O523" s="8" t="str">
        <f t="shared" si="16"/>
        <v/>
      </c>
      <c r="P523" s="8" t="str">
        <f>IF(OR(O523="",'Facturas y gastos'!$B$24="",'Facturas y gastos'!$B$45&lt;&gt;"OK",SUM($O$8:$O$657)=0),"",O523*'Facturas y gastos'!$B$43/SUM($O$8:$O$657))</f>
        <v/>
      </c>
      <c r="Q523" s="8" t="str">
        <f>IF(OR(O523="",'Facturas y gastos'!$B$5="",P523=""),"",O523*'Facturas y gastos'!$B$5+P523)</f>
        <v/>
      </c>
      <c r="R523" s="8" t="str">
        <f t="shared" si="17"/>
        <v/>
      </c>
    </row>
    <row r="524" spans="1:18">
      <c r="A524" s="20"/>
      <c r="B524" s="20"/>
      <c r="C524" s="20"/>
      <c r="D524" s="20"/>
      <c r="E524" s="20"/>
      <c r="F524" s="30"/>
      <c r="G524" s="30"/>
      <c r="H524" s="21"/>
      <c r="I524" s="21"/>
      <c r="J524" s="8" t="str">
        <f>IF(OR(A524="",I524=""),"",IF(SUMIFS($I$8:$I$657,$A$8:$A$657,A524)=0,"",I524*SUMIFS('Facturas y gastos'!$D$10:$D$13,'Facturas y gastos'!$A$10:$A$13,A524)/SUMIFS($I$8:$I$657,$A$8:$A$657,A524)))</f>
        <v/>
      </c>
      <c r="K524" s="8" t="str">
        <f>IF(J524="","",IF(SUMIFS('Facturas y gastos'!$D$10:$D$13,'Facturas y gastos'!$A$10:$A$13,A524)=0,"",J524*SUMIFS('Facturas y gastos'!$G$10:$G$13,'Facturas y gastos'!$A$10:$A$13,A524)/SUMIFS('Facturas y gastos'!$D$10:$D$13,'Facturas y gastos'!$A$10:$A$13,A524)))</f>
        <v/>
      </c>
      <c r="L524" s="8" t="str">
        <f>IF(J524="","",IF(SUMIFS('Facturas y gastos'!$D$10:$D$13,'Facturas y gastos'!$A$10:$A$13,A524)=0,"",J524*SUMIFS('Facturas y gastos'!$H$10:$H$13,'Facturas y gastos'!$A$10:$A$13,A524)/SUMIFS('Facturas y gastos'!$D$10:$D$13,'Facturas y gastos'!$A$10:$A$13,A524)))</f>
        <v/>
      </c>
      <c r="M524" s="8" t="str">
        <f>IF(J524="","",IF(SUMIFS('Facturas y gastos'!$D$10:$D$13,'Facturas y gastos'!$A$10:$A$13,A524)=0,"",J524*SUMIFS('Facturas y gastos'!$I$10:$I$13,'Facturas y gastos'!$A$10:$A$13,A524)/SUMIFS('Facturas y gastos'!$D$10:$D$13,'Facturas y gastos'!$A$10:$A$13,A524)))</f>
        <v/>
      </c>
      <c r="N524" s="8" t="str">
        <f>IF(J524="","",IF(SUMIFS('Facturas y gastos'!$D$10:$D$13,'Facturas y gastos'!$A$10:$A$13,A524)=0,"",J524*SUMIFS('Facturas y gastos'!$J$10:$J$13,'Facturas y gastos'!$A$10:$A$13,A524)/SUMIFS('Facturas y gastos'!$D$10:$D$13,'Facturas y gastos'!$A$10:$A$13,A524)))</f>
        <v/>
      </c>
      <c r="O524" s="8" t="str">
        <f t="shared" si="16"/>
        <v/>
      </c>
      <c r="P524" s="8" t="str">
        <f>IF(OR(O524="",'Facturas y gastos'!$B$24="",'Facturas y gastos'!$B$45&lt;&gt;"OK",SUM($O$8:$O$657)=0),"",O524*'Facturas y gastos'!$B$43/SUM($O$8:$O$657))</f>
        <v/>
      </c>
      <c r="Q524" s="8" t="str">
        <f>IF(OR(O524="",'Facturas y gastos'!$B$5="",P524=""),"",O524*'Facturas y gastos'!$B$5+P524)</f>
        <v/>
      </c>
      <c r="R524" s="8" t="str">
        <f t="shared" si="17"/>
        <v/>
      </c>
    </row>
    <row r="525" spans="1:18">
      <c r="A525" s="20"/>
      <c r="B525" s="20"/>
      <c r="C525" s="20"/>
      <c r="D525" s="20"/>
      <c r="E525" s="20"/>
      <c r="F525" s="30"/>
      <c r="G525" s="30"/>
      <c r="H525" s="21"/>
      <c r="I525" s="21"/>
      <c r="J525" s="8" t="str">
        <f>IF(OR(A525="",I525=""),"",IF(SUMIFS($I$8:$I$657,$A$8:$A$657,A525)=0,"",I525*SUMIFS('Facturas y gastos'!$D$10:$D$13,'Facturas y gastos'!$A$10:$A$13,A525)/SUMIFS($I$8:$I$657,$A$8:$A$657,A525)))</f>
        <v/>
      </c>
      <c r="K525" s="8" t="str">
        <f>IF(J525="","",IF(SUMIFS('Facturas y gastos'!$D$10:$D$13,'Facturas y gastos'!$A$10:$A$13,A525)=0,"",J525*SUMIFS('Facturas y gastos'!$G$10:$G$13,'Facturas y gastos'!$A$10:$A$13,A525)/SUMIFS('Facturas y gastos'!$D$10:$D$13,'Facturas y gastos'!$A$10:$A$13,A525)))</f>
        <v/>
      </c>
      <c r="L525" s="8" t="str">
        <f>IF(J525="","",IF(SUMIFS('Facturas y gastos'!$D$10:$D$13,'Facturas y gastos'!$A$10:$A$13,A525)=0,"",J525*SUMIFS('Facturas y gastos'!$H$10:$H$13,'Facturas y gastos'!$A$10:$A$13,A525)/SUMIFS('Facturas y gastos'!$D$10:$D$13,'Facturas y gastos'!$A$10:$A$13,A525)))</f>
        <v/>
      </c>
      <c r="M525" s="8" t="str">
        <f>IF(J525="","",IF(SUMIFS('Facturas y gastos'!$D$10:$D$13,'Facturas y gastos'!$A$10:$A$13,A525)=0,"",J525*SUMIFS('Facturas y gastos'!$I$10:$I$13,'Facturas y gastos'!$A$10:$A$13,A525)/SUMIFS('Facturas y gastos'!$D$10:$D$13,'Facturas y gastos'!$A$10:$A$13,A525)))</f>
        <v/>
      </c>
      <c r="N525" s="8" t="str">
        <f>IF(J525="","",IF(SUMIFS('Facturas y gastos'!$D$10:$D$13,'Facturas y gastos'!$A$10:$A$13,A525)=0,"",J525*SUMIFS('Facturas y gastos'!$J$10:$J$13,'Facturas y gastos'!$A$10:$A$13,A525)/SUMIFS('Facturas y gastos'!$D$10:$D$13,'Facturas y gastos'!$A$10:$A$13,A525)))</f>
        <v/>
      </c>
      <c r="O525" s="8" t="str">
        <f t="shared" si="16"/>
        <v/>
      </c>
      <c r="P525" s="8" t="str">
        <f>IF(OR(O525="",'Facturas y gastos'!$B$24="",'Facturas y gastos'!$B$45&lt;&gt;"OK",SUM($O$8:$O$657)=0),"",O525*'Facturas y gastos'!$B$43/SUM($O$8:$O$657))</f>
        <v/>
      </c>
      <c r="Q525" s="8" t="str">
        <f>IF(OR(O525="",'Facturas y gastos'!$B$5="",P525=""),"",O525*'Facturas y gastos'!$B$5+P525)</f>
        <v/>
      </c>
      <c r="R525" s="8" t="str">
        <f t="shared" si="17"/>
        <v/>
      </c>
    </row>
    <row r="526" spans="1:18">
      <c r="A526" s="20"/>
      <c r="B526" s="20"/>
      <c r="C526" s="20"/>
      <c r="D526" s="20"/>
      <c r="E526" s="20"/>
      <c r="F526" s="30"/>
      <c r="G526" s="30"/>
      <c r="H526" s="21"/>
      <c r="I526" s="21"/>
      <c r="J526" s="8" t="str">
        <f>IF(OR(A526="",I526=""),"",IF(SUMIFS($I$8:$I$657,$A$8:$A$657,A526)=0,"",I526*SUMIFS('Facturas y gastos'!$D$10:$D$13,'Facturas y gastos'!$A$10:$A$13,A526)/SUMIFS($I$8:$I$657,$A$8:$A$657,A526)))</f>
        <v/>
      </c>
      <c r="K526" s="8" t="str">
        <f>IF(J526="","",IF(SUMIFS('Facturas y gastos'!$D$10:$D$13,'Facturas y gastos'!$A$10:$A$13,A526)=0,"",J526*SUMIFS('Facturas y gastos'!$G$10:$G$13,'Facturas y gastos'!$A$10:$A$13,A526)/SUMIFS('Facturas y gastos'!$D$10:$D$13,'Facturas y gastos'!$A$10:$A$13,A526)))</f>
        <v/>
      </c>
      <c r="L526" s="8" t="str">
        <f>IF(J526="","",IF(SUMIFS('Facturas y gastos'!$D$10:$D$13,'Facturas y gastos'!$A$10:$A$13,A526)=0,"",J526*SUMIFS('Facturas y gastos'!$H$10:$H$13,'Facturas y gastos'!$A$10:$A$13,A526)/SUMIFS('Facturas y gastos'!$D$10:$D$13,'Facturas y gastos'!$A$10:$A$13,A526)))</f>
        <v/>
      </c>
      <c r="M526" s="8" t="str">
        <f>IF(J526="","",IF(SUMIFS('Facturas y gastos'!$D$10:$D$13,'Facturas y gastos'!$A$10:$A$13,A526)=0,"",J526*SUMIFS('Facturas y gastos'!$I$10:$I$13,'Facturas y gastos'!$A$10:$A$13,A526)/SUMIFS('Facturas y gastos'!$D$10:$D$13,'Facturas y gastos'!$A$10:$A$13,A526)))</f>
        <v/>
      </c>
      <c r="N526" s="8" t="str">
        <f>IF(J526="","",IF(SUMIFS('Facturas y gastos'!$D$10:$D$13,'Facturas y gastos'!$A$10:$A$13,A526)=0,"",J526*SUMIFS('Facturas y gastos'!$J$10:$J$13,'Facturas y gastos'!$A$10:$A$13,A526)/SUMIFS('Facturas y gastos'!$D$10:$D$13,'Facturas y gastos'!$A$10:$A$13,A526)))</f>
        <v/>
      </c>
      <c r="O526" s="8" t="str">
        <f t="shared" si="16"/>
        <v/>
      </c>
      <c r="P526" s="8" t="str">
        <f>IF(OR(O526="",'Facturas y gastos'!$B$24="",'Facturas y gastos'!$B$45&lt;&gt;"OK",SUM($O$8:$O$657)=0),"",O526*'Facturas y gastos'!$B$43/SUM($O$8:$O$657))</f>
        <v/>
      </c>
      <c r="Q526" s="8" t="str">
        <f>IF(OR(O526="",'Facturas y gastos'!$B$5="",P526=""),"",O526*'Facturas y gastos'!$B$5+P526)</f>
        <v/>
      </c>
      <c r="R526" s="8" t="str">
        <f t="shared" si="17"/>
        <v/>
      </c>
    </row>
    <row r="527" spans="1:18">
      <c r="A527" s="20"/>
      <c r="B527" s="20"/>
      <c r="C527" s="20"/>
      <c r="D527" s="20"/>
      <c r="E527" s="20"/>
      <c r="F527" s="30"/>
      <c r="G527" s="30"/>
      <c r="H527" s="21"/>
      <c r="I527" s="21"/>
      <c r="J527" s="8" t="str">
        <f>IF(OR(A527="",I527=""),"",IF(SUMIFS($I$8:$I$657,$A$8:$A$657,A527)=0,"",I527*SUMIFS('Facturas y gastos'!$D$10:$D$13,'Facturas y gastos'!$A$10:$A$13,A527)/SUMIFS($I$8:$I$657,$A$8:$A$657,A527)))</f>
        <v/>
      </c>
      <c r="K527" s="8" t="str">
        <f>IF(J527="","",IF(SUMIFS('Facturas y gastos'!$D$10:$D$13,'Facturas y gastos'!$A$10:$A$13,A527)=0,"",J527*SUMIFS('Facturas y gastos'!$G$10:$G$13,'Facturas y gastos'!$A$10:$A$13,A527)/SUMIFS('Facturas y gastos'!$D$10:$D$13,'Facturas y gastos'!$A$10:$A$13,A527)))</f>
        <v/>
      </c>
      <c r="L527" s="8" t="str">
        <f>IF(J527="","",IF(SUMIFS('Facturas y gastos'!$D$10:$D$13,'Facturas y gastos'!$A$10:$A$13,A527)=0,"",J527*SUMIFS('Facturas y gastos'!$H$10:$H$13,'Facturas y gastos'!$A$10:$A$13,A527)/SUMIFS('Facturas y gastos'!$D$10:$D$13,'Facturas y gastos'!$A$10:$A$13,A527)))</f>
        <v/>
      </c>
      <c r="M527" s="8" t="str">
        <f>IF(J527="","",IF(SUMIFS('Facturas y gastos'!$D$10:$D$13,'Facturas y gastos'!$A$10:$A$13,A527)=0,"",J527*SUMIFS('Facturas y gastos'!$I$10:$I$13,'Facturas y gastos'!$A$10:$A$13,A527)/SUMIFS('Facturas y gastos'!$D$10:$D$13,'Facturas y gastos'!$A$10:$A$13,A527)))</f>
        <v/>
      </c>
      <c r="N527" s="8" t="str">
        <f>IF(J527="","",IF(SUMIFS('Facturas y gastos'!$D$10:$D$13,'Facturas y gastos'!$A$10:$A$13,A527)=0,"",J527*SUMIFS('Facturas y gastos'!$J$10:$J$13,'Facturas y gastos'!$A$10:$A$13,A527)/SUMIFS('Facturas y gastos'!$D$10:$D$13,'Facturas y gastos'!$A$10:$A$13,A527)))</f>
        <v/>
      </c>
      <c r="O527" s="8" t="str">
        <f t="shared" si="16"/>
        <v/>
      </c>
      <c r="P527" s="8" t="str">
        <f>IF(OR(O527="",'Facturas y gastos'!$B$24="",'Facturas y gastos'!$B$45&lt;&gt;"OK",SUM($O$8:$O$657)=0),"",O527*'Facturas y gastos'!$B$43/SUM($O$8:$O$657))</f>
        <v/>
      </c>
      <c r="Q527" s="8" t="str">
        <f>IF(OR(O527="",'Facturas y gastos'!$B$5="",P527=""),"",O527*'Facturas y gastos'!$B$5+P527)</f>
        <v/>
      </c>
      <c r="R527" s="8" t="str">
        <f t="shared" si="17"/>
        <v/>
      </c>
    </row>
    <row r="528" spans="1:18">
      <c r="A528" s="20"/>
      <c r="B528" s="20"/>
      <c r="C528" s="20"/>
      <c r="D528" s="20"/>
      <c r="E528" s="20"/>
      <c r="F528" s="30"/>
      <c r="G528" s="30"/>
      <c r="H528" s="21"/>
      <c r="I528" s="21"/>
      <c r="J528" s="8" t="str">
        <f>IF(OR(A528="",I528=""),"",IF(SUMIFS($I$8:$I$657,$A$8:$A$657,A528)=0,"",I528*SUMIFS('Facturas y gastos'!$D$10:$D$13,'Facturas y gastos'!$A$10:$A$13,A528)/SUMIFS($I$8:$I$657,$A$8:$A$657,A528)))</f>
        <v/>
      </c>
      <c r="K528" s="8" t="str">
        <f>IF(J528="","",IF(SUMIFS('Facturas y gastos'!$D$10:$D$13,'Facturas y gastos'!$A$10:$A$13,A528)=0,"",J528*SUMIFS('Facturas y gastos'!$G$10:$G$13,'Facturas y gastos'!$A$10:$A$13,A528)/SUMIFS('Facturas y gastos'!$D$10:$D$13,'Facturas y gastos'!$A$10:$A$13,A528)))</f>
        <v/>
      </c>
      <c r="L528" s="8" t="str">
        <f>IF(J528="","",IF(SUMIFS('Facturas y gastos'!$D$10:$D$13,'Facturas y gastos'!$A$10:$A$13,A528)=0,"",J528*SUMIFS('Facturas y gastos'!$H$10:$H$13,'Facturas y gastos'!$A$10:$A$13,A528)/SUMIFS('Facturas y gastos'!$D$10:$D$13,'Facturas y gastos'!$A$10:$A$13,A528)))</f>
        <v/>
      </c>
      <c r="M528" s="8" t="str">
        <f>IF(J528="","",IF(SUMIFS('Facturas y gastos'!$D$10:$D$13,'Facturas y gastos'!$A$10:$A$13,A528)=0,"",J528*SUMIFS('Facturas y gastos'!$I$10:$I$13,'Facturas y gastos'!$A$10:$A$13,A528)/SUMIFS('Facturas y gastos'!$D$10:$D$13,'Facturas y gastos'!$A$10:$A$13,A528)))</f>
        <v/>
      </c>
      <c r="N528" s="8" t="str">
        <f>IF(J528="","",IF(SUMIFS('Facturas y gastos'!$D$10:$D$13,'Facturas y gastos'!$A$10:$A$13,A528)=0,"",J528*SUMIFS('Facturas y gastos'!$J$10:$J$13,'Facturas y gastos'!$A$10:$A$13,A528)/SUMIFS('Facturas y gastos'!$D$10:$D$13,'Facturas y gastos'!$A$10:$A$13,A528)))</f>
        <v/>
      </c>
      <c r="O528" s="8" t="str">
        <f t="shared" si="16"/>
        <v/>
      </c>
      <c r="P528" s="8" t="str">
        <f>IF(OR(O528="",'Facturas y gastos'!$B$24="",'Facturas y gastos'!$B$45&lt;&gt;"OK",SUM($O$8:$O$657)=0),"",O528*'Facturas y gastos'!$B$43/SUM($O$8:$O$657))</f>
        <v/>
      </c>
      <c r="Q528" s="8" t="str">
        <f>IF(OR(O528="",'Facturas y gastos'!$B$5="",P528=""),"",O528*'Facturas y gastos'!$B$5+P528)</f>
        <v/>
      </c>
      <c r="R528" s="8" t="str">
        <f t="shared" si="17"/>
        <v/>
      </c>
    </row>
    <row r="529" spans="1:18">
      <c r="A529" s="20"/>
      <c r="B529" s="20"/>
      <c r="C529" s="20"/>
      <c r="D529" s="20"/>
      <c r="E529" s="20"/>
      <c r="F529" s="30"/>
      <c r="G529" s="30"/>
      <c r="H529" s="21"/>
      <c r="I529" s="21"/>
      <c r="J529" s="8" t="str">
        <f>IF(OR(A529="",I529=""),"",IF(SUMIFS($I$8:$I$657,$A$8:$A$657,A529)=0,"",I529*SUMIFS('Facturas y gastos'!$D$10:$D$13,'Facturas y gastos'!$A$10:$A$13,A529)/SUMIFS($I$8:$I$657,$A$8:$A$657,A529)))</f>
        <v/>
      </c>
      <c r="K529" s="8" t="str">
        <f>IF(J529="","",IF(SUMIFS('Facturas y gastos'!$D$10:$D$13,'Facturas y gastos'!$A$10:$A$13,A529)=0,"",J529*SUMIFS('Facturas y gastos'!$G$10:$G$13,'Facturas y gastos'!$A$10:$A$13,A529)/SUMIFS('Facturas y gastos'!$D$10:$D$13,'Facturas y gastos'!$A$10:$A$13,A529)))</f>
        <v/>
      </c>
      <c r="L529" s="8" t="str">
        <f>IF(J529="","",IF(SUMIFS('Facturas y gastos'!$D$10:$D$13,'Facturas y gastos'!$A$10:$A$13,A529)=0,"",J529*SUMIFS('Facturas y gastos'!$H$10:$H$13,'Facturas y gastos'!$A$10:$A$13,A529)/SUMIFS('Facturas y gastos'!$D$10:$D$13,'Facturas y gastos'!$A$10:$A$13,A529)))</f>
        <v/>
      </c>
      <c r="M529" s="8" t="str">
        <f>IF(J529="","",IF(SUMIFS('Facturas y gastos'!$D$10:$D$13,'Facturas y gastos'!$A$10:$A$13,A529)=0,"",J529*SUMIFS('Facturas y gastos'!$I$10:$I$13,'Facturas y gastos'!$A$10:$A$13,A529)/SUMIFS('Facturas y gastos'!$D$10:$D$13,'Facturas y gastos'!$A$10:$A$13,A529)))</f>
        <v/>
      </c>
      <c r="N529" s="8" t="str">
        <f>IF(J529="","",IF(SUMIFS('Facturas y gastos'!$D$10:$D$13,'Facturas y gastos'!$A$10:$A$13,A529)=0,"",J529*SUMIFS('Facturas y gastos'!$J$10:$J$13,'Facturas y gastos'!$A$10:$A$13,A529)/SUMIFS('Facturas y gastos'!$D$10:$D$13,'Facturas y gastos'!$A$10:$A$13,A529)))</f>
        <v/>
      </c>
      <c r="O529" s="8" t="str">
        <f t="shared" si="16"/>
        <v/>
      </c>
      <c r="P529" s="8" t="str">
        <f>IF(OR(O529="",'Facturas y gastos'!$B$24="",'Facturas y gastos'!$B$45&lt;&gt;"OK",SUM($O$8:$O$657)=0),"",O529*'Facturas y gastos'!$B$43/SUM($O$8:$O$657))</f>
        <v/>
      </c>
      <c r="Q529" s="8" t="str">
        <f>IF(OR(O529="",'Facturas y gastos'!$B$5="",P529=""),"",O529*'Facturas y gastos'!$B$5+P529)</f>
        <v/>
      </c>
      <c r="R529" s="8" t="str">
        <f t="shared" si="17"/>
        <v/>
      </c>
    </row>
    <row r="530" spans="1:18">
      <c r="A530" s="20"/>
      <c r="B530" s="20"/>
      <c r="C530" s="20"/>
      <c r="D530" s="20"/>
      <c r="E530" s="20"/>
      <c r="F530" s="30"/>
      <c r="G530" s="30"/>
      <c r="H530" s="21"/>
      <c r="I530" s="21"/>
      <c r="J530" s="8" t="str">
        <f>IF(OR(A530="",I530=""),"",IF(SUMIFS($I$8:$I$657,$A$8:$A$657,A530)=0,"",I530*SUMIFS('Facturas y gastos'!$D$10:$D$13,'Facturas y gastos'!$A$10:$A$13,A530)/SUMIFS($I$8:$I$657,$A$8:$A$657,A530)))</f>
        <v/>
      </c>
      <c r="K530" s="8" t="str">
        <f>IF(J530="","",IF(SUMIFS('Facturas y gastos'!$D$10:$D$13,'Facturas y gastos'!$A$10:$A$13,A530)=0,"",J530*SUMIFS('Facturas y gastos'!$G$10:$G$13,'Facturas y gastos'!$A$10:$A$13,A530)/SUMIFS('Facturas y gastos'!$D$10:$D$13,'Facturas y gastos'!$A$10:$A$13,A530)))</f>
        <v/>
      </c>
      <c r="L530" s="8" t="str">
        <f>IF(J530="","",IF(SUMIFS('Facturas y gastos'!$D$10:$D$13,'Facturas y gastos'!$A$10:$A$13,A530)=0,"",J530*SUMIFS('Facturas y gastos'!$H$10:$H$13,'Facturas y gastos'!$A$10:$A$13,A530)/SUMIFS('Facturas y gastos'!$D$10:$D$13,'Facturas y gastos'!$A$10:$A$13,A530)))</f>
        <v/>
      </c>
      <c r="M530" s="8" t="str">
        <f>IF(J530="","",IF(SUMIFS('Facturas y gastos'!$D$10:$D$13,'Facturas y gastos'!$A$10:$A$13,A530)=0,"",J530*SUMIFS('Facturas y gastos'!$I$10:$I$13,'Facturas y gastos'!$A$10:$A$13,A530)/SUMIFS('Facturas y gastos'!$D$10:$D$13,'Facturas y gastos'!$A$10:$A$13,A530)))</f>
        <v/>
      </c>
      <c r="N530" s="8" t="str">
        <f>IF(J530="","",IF(SUMIFS('Facturas y gastos'!$D$10:$D$13,'Facturas y gastos'!$A$10:$A$13,A530)=0,"",J530*SUMIFS('Facturas y gastos'!$J$10:$J$13,'Facturas y gastos'!$A$10:$A$13,A530)/SUMIFS('Facturas y gastos'!$D$10:$D$13,'Facturas y gastos'!$A$10:$A$13,A530)))</f>
        <v/>
      </c>
      <c r="O530" s="8" t="str">
        <f t="shared" si="16"/>
        <v/>
      </c>
      <c r="P530" s="8" t="str">
        <f>IF(OR(O530="",'Facturas y gastos'!$B$24="",'Facturas y gastos'!$B$45&lt;&gt;"OK",SUM($O$8:$O$657)=0),"",O530*'Facturas y gastos'!$B$43/SUM($O$8:$O$657))</f>
        <v/>
      </c>
      <c r="Q530" s="8" t="str">
        <f>IF(OR(O530="",'Facturas y gastos'!$B$5="",P530=""),"",O530*'Facturas y gastos'!$B$5+P530)</f>
        <v/>
      </c>
      <c r="R530" s="8" t="str">
        <f t="shared" si="17"/>
        <v/>
      </c>
    </row>
    <row r="531" spans="1:18">
      <c r="A531" s="20"/>
      <c r="B531" s="20"/>
      <c r="C531" s="20"/>
      <c r="D531" s="20"/>
      <c r="E531" s="20"/>
      <c r="F531" s="30"/>
      <c r="G531" s="30"/>
      <c r="H531" s="21"/>
      <c r="I531" s="21"/>
      <c r="J531" s="8" t="str">
        <f>IF(OR(A531="",I531=""),"",IF(SUMIFS($I$8:$I$657,$A$8:$A$657,A531)=0,"",I531*SUMIFS('Facturas y gastos'!$D$10:$D$13,'Facturas y gastos'!$A$10:$A$13,A531)/SUMIFS($I$8:$I$657,$A$8:$A$657,A531)))</f>
        <v/>
      </c>
      <c r="K531" s="8" t="str">
        <f>IF(J531="","",IF(SUMIFS('Facturas y gastos'!$D$10:$D$13,'Facturas y gastos'!$A$10:$A$13,A531)=0,"",J531*SUMIFS('Facturas y gastos'!$G$10:$G$13,'Facturas y gastos'!$A$10:$A$13,A531)/SUMIFS('Facturas y gastos'!$D$10:$D$13,'Facturas y gastos'!$A$10:$A$13,A531)))</f>
        <v/>
      </c>
      <c r="L531" s="8" t="str">
        <f>IF(J531="","",IF(SUMIFS('Facturas y gastos'!$D$10:$D$13,'Facturas y gastos'!$A$10:$A$13,A531)=0,"",J531*SUMIFS('Facturas y gastos'!$H$10:$H$13,'Facturas y gastos'!$A$10:$A$13,A531)/SUMIFS('Facturas y gastos'!$D$10:$D$13,'Facturas y gastos'!$A$10:$A$13,A531)))</f>
        <v/>
      </c>
      <c r="M531" s="8" t="str">
        <f>IF(J531="","",IF(SUMIFS('Facturas y gastos'!$D$10:$D$13,'Facturas y gastos'!$A$10:$A$13,A531)=0,"",J531*SUMIFS('Facturas y gastos'!$I$10:$I$13,'Facturas y gastos'!$A$10:$A$13,A531)/SUMIFS('Facturas y gastos'!$D$10:$D$13,'Facturas y gastos'!$A$10:$A$13,A531)))</f>
        <v/>
      </c>
      <c r="N531" s="8" t="str">
        <f>IF(J531="","",IF(SUMIFS('Facturas y gastos'!$D$10:$D$13,'Facturas y gastos'!$A$10:$A$13,A531)=0,"",J531*SUMIFS('Facturas y gastos'!$J$10:$J$13,'Facturas y gastos'!$A$10:$A$13,A531)/SUMIFS('Facturas y gastos'!$D$10:$D$13,'Facturas y gastos'!$A$10:$A$13,A531)))</f>
        <v/>
      </c>
      <c r="O531" s="8" t="str">
        <f t="shared" si="16"/>
        <v/>
      </c>
      <c r="P531" s="8" t="str">
        <f>IF(OR(O531="",'Facturas y gastos'!$B$24="",'Facturas y gastos'!$B$45&lt;&gt;"OK",SUM($O$8:$O$657)=0),"",O531*'Facturas y gastos'!$B$43/SUM($O$8:$O$657))</f>
        <v/>
      </c>
      <c r="Q531" s="8" t="str">
        <f>IF(OR(O531="",'Facturas y gastos'!$B$5="",P531=""),"",O531*'Facturas y gastos'!$B$5+P531)</f>
        <v/>
      </c>
      <c r="R531" s="8" t="str">
        <f t="shared" si="17"/>
        <v/>
      </c>
    </row>
    <row r="532" spans="1:18">
      <c r="A532" s="20"/>
      <c r="B532" s="20"/>
      <c r="C532" s="20"/>
      <c r="D532" s="20"/>
      <c r="E532" s="20"/>
      <c r="F532" s="30"/>
      <c r="G532" s="30"/>
      <c r="H532" s="21"/>
      <c r="I532" s="21"/>
      <c r="J532" s="8" t="str">
        <f>IF(OR(A532="",I532=""),"",IF(SUMIFS($I$8:$I$657,$A$8:$A$657,A532)=0,"",I532*SUMIFS('Facturas y gastos'!$D$10:$D$13,'Facturas y gastos'!$A$10:$A$13,A532)/SUMIFS($I$8:$I$657,$A$8:$A$657,A532)))</f>
        <v/>
      </c>
      <c r="K532" s="8" t="str">
        <f>IF(J532="","",IF(SUMIFS('Facturas y gastos'!$D$10:$D$13,'Facturas y gastos'!$A$10:$A$13,A532)=0,"",J532*SUMIFS('Facturas y gastos'!$G$10:$G$13,'Facturas y gastos'!$A$10:$A$13,A532)/SUMIFS('Facturas y gastos'!$D$10:$D$13,'Facturas y gastos'!$A$10:$A$13,A532)))</f>
        <v/>
      </c>
      <c r="L532" s="8" t="str">
        <f>IF(J532="","",IF(SUMIFS('Facturas y gastos'!$D$10:$D$13,'Facturas y gastos'!$A$10:$A$13,A532)=0,"",J532*SUMIFS('Facturas y gastos'!$H$10:$H$13,'Facturas y gastos'!$A$10:$A$13,A532)/SUMIFS('Facturas y gastos'!$D$10:$D$13,'Facturas y gastos'!$A$10:$A$13,A532)))</f>
        <v/>
      </c>
      <c r="M532" s="8" t="str">
        <f>IF(J532="","",IF(SUMIFS('Facturas y gastos'!$D$10:$D$13,'Facturas y gastos'!$A$10:$A$13,A532)=0,"",J532*SUMIFS('Facturas y gastos'!$I$10:$I$13,'Facturas y gastos'!$A$10:$A$13,A532)/SUMIFS('Facturas y gastos'!$D$10:$D$13,'Facturas y gastos'!$A$10:$A$13,A532)))</f>
        <v/>
      </c>
      <c r="N532" s="8" t="str">
        <f>IF(J532="","",IF(SUMIFS('Facturas y gastos'!$D$10:$D$13,'Facturas y gastos'!$A$10:$A$13,A532)=0,"",J532*SUMIFS('Facturas y gastos'!$J$10:$J$13,'Facturas y gastos'!$A$10:$A$13,A532)/SUMIFS('Facturas y gastos'!$D$10:$D$13,'Facturas y gastos'!$A$10:$A$13,A532)))</f>
        <v/>
      </c>
      <c r="O532" s="8" t="str">
        <f t="shared" si="16"/>
        <v/>
      </c>
      <c r="P532" s="8" t="str">
        <f>IF(OR(O532="",'Facturas y gastos'!$B$24="",'Facturas y gastos'!$B$45&lt;&gt;"OK",SUM($O$8:$O$657)=0),"",O532*'Facturas y gastos'!$B$43/SUM($O$8:$O$657))</f>
        <v/>
      </c>
      <c r="Q532" s="8" t="str">
        <f>IF(OR(O532="",'Facturas y gastos'!$B$5="",P532=""),"",O532*'Facturas y gastos'!$B$5+P532)</f>
        <v/>
      </c>
      <c r="R532" s="8" t="str">
        <f t="shared" si="17"/>
        <v/>
      </c>
    </row>
    <row r="533" spans="1:18">
      <c r="A533" s="20"/>
      <c r="B533" s="20"/>
      <c r="C533" s="20"/>
      <c r="D533" s="20"/>
      <c r="E533" s="20"/>
      <c r="F533" s="30"/>
      <c r="G533" s="30"/>
      <c r="H533" s="21"/>
      <c r="I533" s="21"/>
      <c r="J533" s="8" t="str">
        <f>IF(OR(A533="",I533=""),"",IF(SUMIFS($I$8:$I$657,$A$8:$A$657,A533)=0,"",I533*SUMIFS('Facturas y gastos'!$D$10:$D$13,'Facturas y gastos'!$A$10:$A$13,A533)/SUMIFS($I$8:$I$657,$A$8:$A$657,A533)))</f>
        <v/>
      </c>
      <c r="K533" s="8" t="str">
        <f>IF(J533="","",IF(SUMIFS('Facturas y gastos'!$D$10:$D$13,'Facturas y gastos'!$A$10:$A$13,A533)=0,"",J533*SUMIFS('Facturas y gastos'!$G$10:$G$13,'Facturas y gastos'!$A$10:$A$13,A533)/SUMIFS('Facturas y gastos'!$D$10:$D$13,'Facturas y gastos'!$A$10:$A$13,A533)))</f>
        <v/>
      </c>
      <c r="L533" s="8" t="str">
        <f>IF(J533="","",IF(SUMIFS('Facturas y gastos'!$D$10:$D$13,'Facturas y gastos'!$A$10:$A$13,A533)=0,"",J533*SUMIFS('Facturas y gastos'!$H$10:$H$13,'Facturas y gastos'!$A$10:$A$13,A533)/SUMIFS('Facturas y gastos'!$D$10:$D$13,'Facturas y gastos'!$A$10:$A$13,A533)))</f>
        <v/>
      </c>
      <c r="M533" s="8" t="str">
        <f>IF(J533="","",IF(SUMIFS('Facturas y gastos'!$D$10:$D$13,'Facturas y gastos'!$A$10:$A$13,A533)=0,"",J533*SUMIFS('Facturas y gastos'!$I$10:$I$13,'Facturas y gastos'!$A$10:$A$13,A533)/SUMIFS('Facturas y gastos'!$D$10:$D$13,'Facturas y gastos'!$A$10:$A$13,A533)))</f>
        <v/>
      </c>
      <c r="N533" s="8" t="str">
        <f>IF(J533="","",IF(SUMIFS('Facturas y gastos'!$D$10:$D$13,'Facturas y gastos'!$A$10:$A$13,A533)=0,"",J533*SUMIFS('Facturas y gastos'!$J$10:$J$13,'Facturas y gastos'!$A$10:$A$13,A533)/SUMIFS('Facturas y gastos'!$D$10:$D$13,'Facturas y gastos'!$A$10:$A$13,A533)))</f>
        <v/>
      </c>
      <c r="O533" s="8" t="str">
        <f t="shared" si="16"/>
        <v/>
      </c>
      <c r="P533" s="8" t="str">
        <f>IF(OR(O533="",'Facturas y gastos'!$B$24="",'Facturas y gastos'!$B$45&lt;&gt;"OK",SUM($O$8:$O$657)=0),"",O533*'Facturas y gastos'!$B$43/SUM($O$8:$O$657))</f>
        <v/>
      </c>
      <c r="Q533" s="8" t="str">
        <f>IF(OR(O533="",'Facturas y gastos'!$B$5="",P533=""),"",O533*'Facturas y gastos'!$B$5+P533)</f>
        <v/>
      </c>
      <c r="R533" s="8" t="str">
        <f t="shared" si="17"/>
        <v/>
      </c>
    </row>
    <row r="534" spans="1:18">
      <c r="A534" s="20"/>
      <c r="B534" s="20"/>
      <c r="C534" s="20"/>
      <c r="D534" s="20"/>
      <c r="E534" s="20"/>
      <c r="F534" s="30"/>
      <c r="G534" s="30"/>
      <c r="H534" s="21"/>
      <c r="I534" s="21"/>
      <c r="J534" s="8" t="str">
        <f>IF(OR(A534="",I534=""),"",IF(SUMIFS($I$8:$I$657,$A$8:$A$657,A534)=0,"",I534*SUMIFS('Facturas y gastos'!$D$10:$D$13,'Facturas y gastos'!$A$10:$A$13,A534)/SUMIFS($I$8:$I$657,$A$8:$A$657,A534)))</f>
        <v/>
      </c>
      <c r="K534" s="8" t="str">
        <f>IF(J534="","",IF(SUMIFS('Facturas y gastos'!$D$10:$D$13,'Facturas y gastos'!$A$10:$A$13,A534)=0,"",J534*SUMIFS('Facturas y gastos'!$G$10:$G$13,'Facturas y gastos'!$A$10:$A$13,A534)/SUMIFS('Facturas y gastos'!$D$10:$D$13,'Facturas y gastos'!$A$10:$A$13,A534)))</f>
        <v/>
      </c>
      <c r="L534" s="8" t="str">
        <f>IF(J534="","",IF(SUMIFS('Facturas y gastos'!$D$10:$D$13,'Facturas y gastos'!$A$10:$A$13,A534)=0,"",J534*SUMIFS('Facturas y gastos'!$H$10:$H$13,'Facturas y gastos'!$A$10:$A$13,A534)/SUMIFS('Facturas y gastos'!$D$10:$D$13,'Facturas y gastos'!$A$10:$A$13,A534)))</f>
        <v/>
      </c>
      <c r="M534" s="8" t="str">
        <f>IF(J534="","",IF(SUMIFS('Facturas y gastos'!$D$10:$D$13,'Facturas y gastos'!$A$10:$A$13,A534)=0,"",J534*SUMIFS('Facturas y gastos'!$I$10:$I$13,'Facturas y gastos'!$A$10:$A$13,A534)/SUMIFS('Facturas y gastos'!$D$10:$D$13,'Facturas y gastos'!$A$10:$A$13,A534)))</f>
        <v/>
      </c>
      <c r="N534" s="8" t="str">
        <f>IF(J534="","",IF(SUMIFS('Facturas y gastos'!$D$10:$D$13,'Facturas y gastos'!$A$10:$A$13,A534)=0,"",J534*SUMIFS('Facturas y gastos'!$J$10:$J$13,'Facturas y gastos'!$A$10:$A$13,A534)/SUMIFS('Facturas y gastos'!$D$10:$D$13,'Facturas y gastos'!$A$10:$A$13,A534)))</f>
        <v/>
      </c>
      <c r="O534" s="8" t="str">
        <f t="shared" si="16"/>
        <v/>
      </c>
      <c r="P534" s="8" t="str">
        <f>IF(OR(O534="",'Facturas y gastos'!$B$24="",'Facturas y gastos'!$B$45&lt;&gt;"OK",SUM($O$8:$O$657)=0),"",O534*'Facturas y gastos'!$B$43/SUM($O$8:$O$657))</f>
        <v/>
      </c>
      <c r="Q534" s="8" t="str">
        <f>IF(OR(O534="",'Facturas y gastos'!$B$5="",P534=""),"",O534*'Facturas y gastos'!$B$5+P534)</f>
        <v/>
      </c>
      <c r="R534" s="8" t="str">
        <f t="shared" si="17"/>
        <v/>
      </c>
    </row>
    <row r="535" spans="1:18">
      <c r="A535" s="20"/>
      <c r="B535" s="20"/>
      <c r="C535" s="20"/>
      <c r="D535" s="20"/>
      <c r="E535" s="20"/>
      <c r="F535" s="30"/>
      <c r="G535" s="30"/>
      <c r="H535" s="21"/>
      <c r="I535" s="21"/>
      <c r="J535" s="8" t="str">
        <f>IF(OR(A535="",I535=""),"",IF(SUMIFS($I$8:$I$657,$A$8:$A$657,A535)=0,"",I535*SUMIFS('Facturas y gastos'!$D$10:$D$13,'Facturas y gastos'!$A$10:$A$13,A535)/SUMIFS($I$8:$I$657,$A$8:$A$657,A535)))</f>
        <v/>
      </c>
      <c r="K535" s="8" t="str">
        <f>IF(J535="","",IF(SUMIFS('Facturas y gastos'!$D$10:$D$13,'Facturas y gastos'!$A$10:$A$13,A535)=0,"",J535*SUMIFS('Facturas y gastos'!$G$10:$G$13,'Facturas y gastos'!$A$10:$A$13,A535)/SUMIFS('Facturas y gastos'!$D$10:$D$13,'Facturas y gastos'!$A$10:$A$13,A535)))</f>
        <v/>
      </c>
      <c r="L535" s="8" t="str">
        <f>IF(J535="","",IF(SUMIFS('Facturas y gastos'!$D$10:$D$13,'Facturas y gastos'!$A$10:$A$13,A535)=0,"",J535*SUMIFS('Facturas y gastos'!$H$10:$H$13,'Facturas y gastos'!$A$10:$A$13,A535)/SUMIFS('Facturas y gastos'!$D$10:$D$13,'Facturas y gastos'!$A$10:$A$13,A535)))</f>
        <v/>
      </c>
      <c r="M535" s="8" t="str">
        <f>IF(J535="","",IF(SUMIFS('Facturas y gastos'!$D$10:$D$13,'Facturas y gastos'!$A$10:$A$13,A535)=0,"",J535*SUMIFS('Facturas y gastos'!$I$10:$I$13,'Facturas y gastos'!$A$10:$A$13,A535)/SUMIFS('Facturas y gastos'!$D$10:$D$13,'Facturas y gastos'!$A$10:$A$13,A535)))</f>
        <v/>
      </c>
      <c r="N535" s="8" t="str">
        <f>IF(J535="","",IF(SUMIFS('Facturas y gastos'!$D$10:$D$13,'Facturas y gastos'!$A$10:$A$13,A535)=0,"",J535*SUMIFS('Facturas y gastos'!$J$10:$J$13,'Facturas y gastos'!$A$10:$A$13,A535)/SUMIFS('Facturas y gastos'!$D$10:$D$13,'Facturas y gastos'!$A$10:$A$13,A535)))</f>
        <v/>
      </c>
      <c r="O535" s="8" t="str">
        <f t="shared" si="16"/>
        <v/>
      </c>
      <c r="P535" s="8" t="str">
        <f>IF(OR(O535="",'Facturas y gastos'!$B$24="",'Facturas y gastos'!$B$45&lt;&gt;"OK",SUM($O$8:$O$657)=0),"",O535*'Facturas y gastos'!$B$43/SUM($O$8:$O$657))</f>
        <v/>
      </c>
      <c r="Q535" s="8" t="str">
        <f>IF(OR(O535="",'Facturas y gastos'!$B$5="",P535=""),"",O535*'Facturas y gastos'!$B$5+P535)</f>
        <v/>
      </c>
      <c r="R535" s="8" t="str">
        <f t="shared" si="17"/>
        <v/>
      </c>
    </row>
    <row r="536" spans="1:18">
      <c r="A536" s="20"/>
      <c r="B536" s="20"/>
      <c r="C536" s="20"/>
      <c r="D536" s="20"/>
      <c r="E536" s="20"/>
      <c r="F536" s="30"/>
      <c r="G536" s="30"/>
      <c r="H536" s="21"/>
      <c r="I536" s="21"/>
      <c r="J536" s="8" t="str">
        <f>IF(OR(A536="",I536=""),"",IF(SUMIFS($I$8:$I$657,$A$8:$A$657,A536)=0,"",I536*SUMIFS('Facturas y gastos'!$D$10:$D$13,'Facturas y gastos'!$A$10:$A$13,A536)/SUMIFS($I$8:$I$657,$A$8:$A$657,A536)))</f>
        <v/>
      </c>
      <c r="K536" s="8" t="str">
        <f>IF(J536="","",IF(SUMIFS('Facturas y gastos'!$D$10:$D$13,'Facturas y gastos'!$A$10:$A$13,A536)=0,"",J536*SUMIFS('Facturas y gastos'!$G$10:$G$13,'Facturas y gastos'!$A$10:$A$13,A536)/SUMIFS('Facturas y gastos'!$D$10:$D$13,'Facturas y gastos'!$A$10:$A$13,A536)))</f>
        <v/>
      </c>
      <c r="L536" s="8" t="str">
        <f>IF(J536="","",IF(SUMIFS('Facturas y gastos'!$D$10:$D$13,'Facturas y gastos'!$A$10:$A$13,A536)=0,"",J536*SUMIFS('Facturas y gastos'!$H$10:$H$13,'Facturas y gastos'!$A$10:$A$13,A536)/SUMIFS('Facturas y gastos'!$D$10:$D$13,'Facturas y gastos'!$A$10:$A$13,A536)))</f>
        <v/>
      </c>
      <c r="M536" s="8" t="str">
        <f>IF(J536="","",IF(SUMIFS('Facturas y gastos'!$D$10:$D$13,'Facturas y gastos'!$A$10:$A$13,A536)=0,"",J536*SUMIFS('Facturas y gastos'!$I$10:$I$13,'Facturas y gastos'!$A$10:$A$13,A536)/SUMIFS('Facturas y gastos'!$D$10:$D$13,'Facturas y gastos'!$A$10:$A$13,A536)))</f>
        <v/>
      </c>
      <c r="N536" s="8" t="str">
        <f>IF(J536="","",IF(SUMIFS('Facturas y gastos'!$D$10:$D$13,'Facturas y gastos'!$A$10:$A$13,A536)=0,"",J536*SUMIFS('Facturas y gastos'!$J$10:$J$13,'Facturas y gastos'!$A$10:$A$13,A536)/SUMIFS('Facturas y gastos'!$D$10:$D$13,'Facturas y gastos'!$A$10:$A$13,A536)))</f>
        <v/>
      </c>
      <c r="O536" s="8" t="str">
        <f t="shared" si="16"/>
        <v/>
      </c>
      <c r="P536" s="8" t="str">
        <f>IF(OR(O536="",'Facturas y gastos'!$B$24="",'Facturas y gastos'!$B$45&lt;&gt;"OK",SUM($O$8:$O$657)=0),"",O536*'Facturas y gastos'!$B$43/SUM($O$8:$O$657))</f>
        <v/>
      </c>
      <c r="Q536" s="8" t="str">
        <f>IF(OR(O536="",'Facturas y gastos'!$B$5="",P536=""),"",O536*'Facturas y gastos'!$B$5+P536)</f>
        <v/>
      </c>
      <c r="R536" s="8" t="str">
        <f t="shared" si="17"/>
        <v/>
      </c>
    </row>
    <row r="537" spans="1:18">
      <c r="A537" s="20"/>
      <c r="B537" s="20"/>
      <c r="C537" s="20"/>
      <c r="D537" s="20"/>
      <c r="E537" s="20"/>
      <c r="F537" s="30"/>
      <c r="G537" s="30"/>
      <c r="H537" s="21"/>
      <c r="I537" s="21"/>
      <c r="J537" s="8" t="str">
        <f>IF(OR(A537="",I537=""),"",IF(SUMIFS($I$8:$I$657,$A$8:$A$657,A537)=0,"",I537*SUMIFS('Facturas y gastos'!$D$10:$D$13,'Facturas y gastos'!$A$10:$A$13,A537)/SUMIFS($I$8:$I$657,$A$8:$A$657,A537)))</f>
        <v/>
      </c>
      <c r="K537" s="8" t="str">
        <f>IF(J537="","",IF(SUMIFS('Facturas y gastos'!$D$10:$D$13,'Facturas y gastos'!$A$10:$A$13,A537)=0,"",J537*SUMIFS('Facturas y gastos'!$G$10:$G$13,'Facturas y gastos'!$A$10:$A$13,A537)/SUMIFS('Facturas y gastos'!$D$10:$D$13,'Facturas y gastos'!$A$10:$A$13,A537)))</f>
        <v/>
      </c>
      <c r="L537" s="8" t="str">
        <f>IF(J537="","",IF(SUMIFS('Facturas y gastos'!$D$10:$D$13,'Facturas y gastos'!$A$10:$A$13,A537)=0,"",J537*SUMIFS('Facturas y gastos'!$H$10:$H$13,'Facturas y gastos'!$A$10:$A$13,A537)/SUMIFS('Facturas y gastos'!$D$10:$D$13,'Facturas y gastos'!$A$10:$A$13,A537)))</f>
        <v/>
      </c>
      <c r="M537" s="8" t="str">
        <f>IF(J537="","",IF(SUMIFS('Facturas y gastos'!$D$10:$D$13,'Facturas y gastos'!$A$10:$A$13,A537)=0,"",J537*SUMIFS('Facturas y gastos'!$I$10:$I$13,'Facturas y gastos'!$A$10:$A$13,A537)/SUMIFS('Facturas y gastos'!$D$10:$D$13,'Facturas y gastos'!$A$10:$A$13,A537)))</f>
        <v/>
      </c>
      <c r="N537" s="8" t="str">
        <f>IF(J537="","",IF(SUMIFS('Facturas y gastos'!$D$10:$D$13,'Facturas y gastos'!$A$10:$A$13,A537)=0,"",J537*SUMIFS('Facturas y gastos'!$J$10:$J$13,'Facturas y gastos'!$A$10:$A$13,A537)/SUMIFS('Facturas y gastos'!$D$10:$D$13,'Facturas y gastos'!$A$10:$A$13,A537)))</f>
        <v/>
      </c>
      <c r="O537" s="8" t="str">
        <f t="shared" si="16"/>
        <v/>
      </c>
      <c r="P537" s="8" t="str">
        <f>IF(OR(O537="",'Facturas y gastos'!$B$24="",'Facturas y gastos'!$B$45&lt;&gt;"OK",SUM($O$8:$O$657)=0),"",O537*'Facturas y gastos'!$B$43/SUM($O$8:$O$657))</f>
        <v/>
      </c>
      <c r="Q537" s="8" t="str">
        <f>IF(OR(O537="",'Facturas y gastos'!$B$5="",P537=""),"",O537*'Facturas y gastos'!$B$5+P537)</f>
        <v/>
      </c>
      <c r="R537" s="8" t="str">
        <f t="shared" si="17"/>
        <v/>
      </c>
    </row>
    <row r="538" spans="1:18">
      <c r="A538" s="20"/>
      <c r="B538" s="20"/>
      <c r="C538" s="20"/>
      <c r="D538" s="20"/>
      <c r="E538" s="20"/>
      <c r="F538" s="30"/>
      <c r="G538" s="30"/>
      <c r="H538" s="21"/>
      <c r="I538" s="21"/>
      <c r="J538" s="8" t="str">
        <f>IF(OR(A538="",I538=""),"",IF(SUMIFS($I$8:$I$657,$A$8:$A$657,A538)=0,"",I538*SUMIFS('Facturas y gastos'!$D$10:$D$13,'Facturas y gastos'!$A$10:$A$13,A538)/SUMIFS($I$8:$I$657,$A$8:$A$657,A538)))</f>
        <v/>
      </c>
      <c r="K538" s="8" t="str">
        <f>IF(J538="","",IF(SUMIFS('Facturas y gastos'!$D$10:$D$13,'Facturas y gastos'!$A$10:$A$13,A538)=0,"",J538*SUMIFS('Facturas y gastos'!$G$10:$G$13,'Facturas y gastos'!$A$10:$A$13,A538)/SUMIFS('Facturas y gastos'!$D$10:$D$13,'Facturas y gastos'!$A$10:$A$13,A538)))</f>
        <v/>
      </c>
      <c r="L538" s="8" t="str">
        <f>IF(J538="","",IF(SUMIFS('Facturas y gastos'!$D$10:$D$13,'Facturas y gastos'!$A$10:$A$13,A538)=0,"",J538*SUMIFS('Facturas y gastos'!$H$10:$H$13,'Facturas y gastos'!$A$10:$A$13,A538)/SUMIFS('Facturas y gastos'!$D$10:$D$13,'Facturas y gastos'!$A$10:$A$13,A538)))</f>
        <v/>
      </c>
      <c r="M538" s="8" t="str">
        <f>IF(J538="","",IF(SUMIFS('Facturas y gastos'!$D$10:$D$13,'Facturas y gastos'!$A$10:$A$13,A538)=0,"",J538*SUMIFS('Facturas y gastos'!$I$10:$I$13,'Facturas y gastos'!$A$10:$A$13,A538)/SUMIFS('Facturas y gastos'!$D$10:$D$13,'Facturas y gastos'!$A$10:$A$13,A538)))</f>
        <v/>
      </c>
      <c r="N538" s="8" t="str">
        <f>IF(J538="","",IF(SUMIFS('Facturas y gastos'!$D$10:$D$13,'Facturas y gastos'!$A$10:$A$13,A538)=0,"",J538*SUMIFS('Facturas y gastos'!$J$10:$J$13,'Facturas y gastos'!$A$10:$A$13,A538)/SUMIFS('Facturas y gastos'!$D$10:$D$13,'Facturas y gastos'!$A$10:$A$13,A538)))</f>
        <v/>
      </c>
      <c r="O538" s="8" t="str">
        <f t="shared" si="16"/>
        <v/>
      </c>
      <c r="P538" s="8" t="str">
        <f>IF(OR(O538="",'Facturas y gastos'!$B$24="",'Facturas y gastos'!$B$45&lt;&gt;"OK",SUM($O$8:$O$657)=0),"",O538*'Facturas y gastos'!$B$43/SUM($O$8:$O$657))</f>
        <v/>
      </c>
      <c r="Q538" s="8" t="str">
        <f>IF(OR(O538="",'Facturas y gastos'!$B$5="",P538=""),"",O538*'Facturas y gastos'!$B$5+P538)</f>
        <v/>
      </c>
      <c r="R538" s="8" t="str">
        <f t="shared" si="17"/>
        <v/>
      </c>
    </row>
    <row r="539" spans="1:18">
      <c r="A539" s="20"/>
      <c r="B539" s="20"/>
      <c r="C539" s="20"/>
      <c r="D539" s="20"/>
      <c r="E539" s="20"/>
      <c r="F539" s="30"/>
      <c r="G539" s="30"/>
      <c r="H539" s="21"/>
      <c r="I539" s="21"/>
      <c r="J539" s="8" t="str">
        <f>IF(OR(A539="",I539=""),"",IF(SUMIFS($I$8:$I$657,$A$8:$A$657,A539)=0,"",I539*SUMIFS('Facturas y gastos'!$D$10:$D$13,'Facturas y gastos'!$A$10:$A$13,A539)/SUMIFS($I$8:$I$657,$A$8:$A$657,A539)))</f>
        <v/>
      </c>
      <c r="K539" s="8" t="str">
        <f>IF(J539="","",IF(SUMIFS('Facturas y gastos'!$D$10:$D$13,'Facturas y gastos'!$A$10:$A$13,A539)=0,"",J539*SUMIFS('Facturas y gastos'!$G$10:$G$13,'Facturas y gastos'!$A$10:$A$13,A539)/SUMIFS('Facturas y gastos'!$D$10:$D$13,'Facturas y gastos'!$A$10:$A$13,A539)))</f>
        <v/>
      </c>
      <c r="L539" s="8" t="str">
        <f>IF(J539="","",IF(SUMIFS('Facturas y gastos'!$D$10:$D$13,'Facturas y gastos'!$A$10:$A$13,A539)=0,"",J539*SUMIFS('Facturas y gastos'!$H$10:$H$13,'Facturas y gastos'!$A$10:$A$13,A539)/SUMIFS('Facturas y gastos'!$D$10:$D$13,'Facturas y gastos'!$A$10:$A$13,A539)))</f>
        <v/>
      </c>
      <c r="M539" s="8" t="str">
        <f>IF(J539="","",IF(SUMIFS('Facturas y gastos'!$D$10:$D$13,'Facturas y gastos'!$A$10:$A$13,A539)=0,"",J539*SUMIFS('Facturas y gastos'!$I$10:$I$13,'Facturas y gastos'!$A$10:$A$13,A539)/SUMIFS('Facturas y gastos'!$D$10:$D$13,'Facturas y gastos'!$A$10:$A$13,A539)))</f>
        <v/>
      </c>
      <c r="N539" s="8" t="str">
        <f>IF(J539="","",IF(SUMIFS('Facturas y gastos'!$D$10:$D$13,'Facturas y gastos'!$A$10:$A$13,A539)=0,"",J539*SUMIFS('Facturas y gastos'!$J$10:$J$13,'Facturas y gastos'!$A$10:$A$13,A539)/SUMIFS('Facturas y gastos'!$D$10:$D$13,'Facturas y gastos'!$A$10:$A$13,A539)))</f>
        <v/>
      </c>
      <c r="O539" s="8" t="str">
        <f t="shared" si="16"/>
        <v/>
      </c>
      <c r="P539" s="8" t="str">
        <f>IF(OR(O539="",'Facturas y gastos'!$B$24="",'Facturas y gastos'!$B$45&lt;&gt;"OK",SUM($O$8:$O$657)=0),"",O539*'Facturas y gastos'!$B$43/SUM($O$8:$O$657))</f>
        <v/>
      </c>
      <c r="Q539" s="8" t="str">
        <f>IF(OR(O539="",'Facturas y gastos'!$B$5="",P539=""),"",O539*'Facturas y gastos'!$B$5+P539)</f>
        <v/>
      </c>
      <c r="R539" s="8" t="str">
        <f t="shared" si="17"/>
        <v/>
      </c>
    </row>
    <row r="540" spans="1:18">
      <c r="A540" s="20"/>
      <c r="B540" s="20"/>
      <c r="C540" s="20"/>
      <c r="D540" s="20"/>
      <c r="E540" s="20"/>
      <c r="F540" s="30"/>
      <c r="G540" s="30"/>
      <c r="H540" s="21"/>
      <c r="I540" s="21"/>
      <c r="J540" s="8" t="str">
        <f>IF(OR(A540="",I540=""),"",IF(SUMIFS($I$8:$I$657,$A$8:$A$657,A540)=0,"",I540*SUMIFS('Facturas y gastos'!$D$10:$D$13,'Facturas y gastos'!$A$10:$A$13,A540)/SUMIFS($I$8:$I$657,$A$8:$A$657,A540)))</f>
        <v/>
      </c>
      <c r="K540" s="8" t="str">
        <f>IF(J540="","",IF(SUMIFS('Facturas y gastos'!$D$10:$D$13,'Facturas y gastos'!$A$10:$A$13,A540)=0,"",J540*SUMIFS('Facturas y gastos'!$G$10:$G$13,'Facturas y gastos'!$A$10:$A$13,A540)/SUMIFS('Facturas y gastos'!$D$10:$D$13,'Facturas y gastos'!$A$10:$A$13,A540)))</f>
        <v/>
      </c>
      <c r="L540" s="8" t="str">
        <f>IF(J540="","",IF(SUMIFS('Facturas y gastos'!$D$10:$D$13,'Facturas y gastos'!$A$10:$A$13,A540)=0,"",J540*SUMIFS('Facturas y gastos'!$H$10:$H$13,'Facturas y gastos'!$A$10:$A$13,A540)/SUMIFS('Facturas y gastos'!$D$10:$D$13,'Facturas y gastos'!$A$10:$A$13,A540)))</f>
        <v/>
      </c>
      <c r="M540" s="8" t="str">
        <f>IF(J540="","",IF(SUMIFS('Facturas y gastos'!$D$10:$D$13,'Facturas y gastos'!$A$10:$A$13,A540)=0,"",J540*SUMIFS('Facturas y gastos'!$I$10:$I$13,'Facturas y gastos'!$A$10:$A$13,A540)/SUMIFS('Facturas y gastos'!$D$10:$D$13,'Facturas y gastos'!$A$10:$A$13,A540)))</f>
        <v/>
      </c>
      <c r="N540" s="8" t="str">
        <f>IF(J540="","",IF(SUMIFS('Facturas y gastos'!$D$10:$D$13,'Facturas y gastos'!$A$10:$A$13,A540)=0,"",J540*SUMIFS('Facturas y gastos'!$J$10:$J$13,'Facturas y gastos'!$A$10:$A$13,A540)/SUMIFS('Facturas y gastos'!$D$10:$D$13,'Facturas y gastos'!$A$10:$A$13,A540)))</f>
        <v/>
      </c>
      <c r="O540" s="8" t="str">
        <f t="shared" si="16"/>
        <v/>
      </c>
      <c r="P540" s="8" t="str">
        <f>IF(OR(O540="",'Facturas y gastos'!$B$24="",'Facturas y gastos'!$B$45&lt;&gt;"OK",SUM($O$8:$O$657)=0),"",O540*'Facturas y gastos'!$B$43/SUM($O$8:$O$657))</f>
        <v/>
      </c>
      <c r="Q540" s="8" t="str">
        <f>IF(OR(O540="",'Facturas y gastos'!$B$5="",P540=""),"",O540*'Facturas y gastos'!$B$5+P540)</f>
        <v/>
      </c>
      <c r="R540" s="8" t="str">
        <f t="shared" si="17"/>
        <v/>
      </c>
    </row>
    <row r="541" spans="1:18">
      <c r="A541" s="20"/>
      <c r="B541" s="20"/>
      <c r="C541" s="20"/>
      <c r="D541" s="20"/>
      <c r="E541" s="20"/>
      <c r="F541" s="30"/>
      <c r="G541" s="30"/>
      <c r="H541" s="21"/>
      <c r="I541" s="21"/>
      <c r="J541" s="8" t="str">
        <f>IF(OR(A541="",I541=""),"",IF(SUMIFS($I$8:$I$657,$A$8:$A$657,A541)=0,"",I541*SUMIFS('Facturas y gastos'!$D$10:$D$13,'Facturas y gastos'!$A$10:$A$13,A541)/SUMIFS($I$8:$I$657,$A$8:$A$657,A541)))</f>
        <v/>
      </c>
      <c r="K541" s="8" t="str">
        <f>IF(J541="","",IF(SUMIFS('Facturas y gastos'!$D$10:$D$13,'Facturas y gastos'!$A$10:$A$13,A541)=0,"",J541*SUMIFS('Facturas y gastos'!$G$10:$G$13,'Facturas y gastos'!$A$10:$A$13,A541)/SUMIFS('Facturas y gastos'!$D$10:$D$13,'Facturas y gastos'!$A$10:$A$13,A541)))</f>
        <v/>
      </c>
      <c r="L541" s="8" t="str">
        <f>IF(J541="","",IF(SUMIFS('Facturas y gastos'!$D$10:$D$13,'Facturas y gastos'!$A$10:$A$13,A541)=0,"",J541*SUMIFS('Facturas y gastos'!$H$10:$H$13,'Facturas y gastos'!$A$10:$A$13,A541)/SUMIFS('Facturas y gastos'!$D$10:$D$13,'Facturas y gastos'!$A$10:$A$13,A541)))</f>
        <v/>
      </c>
      <c r="M541" s="8" t="str">
        <f>IF(J541="","",IF(SUMIFS('Facturas y gastos'!$D$10:$D$13,'Facturas y gastos'!$A$10:$A$13,A541)=0,"",J541*SUMIFS('Facturas y gastos'!$I$10:$I$13,'Facturas y gastos'!$A$10:$A$13,A541)/SUMIFS('Facturas y gastos'!$D$10:$D$13,'Facturas y gastos'!$A$10:$A$13,A541)))</f>
        <v/>
      </c>
      <c r="N541" s="8" t="str">
        <f>IF(J541="","",IF(SUMIFS('Facturas y gastos'!$D$10:$D$13,'Facturas y gastos'!$A$10:$A$13,A541)=0,"",J541*SUMIFS('Facturas y gastos'!$J$10:$J$13,'Facturas y gastos'!$A$10:$A$13,A541)/SUMIFS('Facturas y gastos'!$D$10:$D$13,'Facturas y gastos'!$A$10:$A$13,A541)))</f>
        <v/>
      </c>
      <c r="O541" s="8" t="str">
        <f t="shared" si="16"/>
        <v/>
      </c>
      <c r="P541" s="8" t="str">
        <f>IF(OR(O541="",'Facturas y gastos'!$B$24="",'Facturas y gastos'!$B$45&lt;&gt;"OK",SUM($O$8:$O$657)=0),"",O541*'Facturas y gastos'!$B$43/SUM($O$8:$O$657))</f>
        <v/>
      </c>
      <c r="Q541" s="8" t="str">
        <f>IF(OR(O541="",'Facturas y gastos'!$B$5="",P541=""),"",O541*'Facturas y gastos'!$B$5+P541)</f>
        <v/>
      </c>
      <c r="R541" s="8" t="str">
        <f t="shared" si="17"/>
        <v/>
      </c>
    </row>
    <row r="542" spans="1:18">
      <c r="A542" s="20"/>
      <c r="B542" s="20"/>
      <c r="C542" s="20"/>
      <c r="D542" s="20"/>
      <c r="E542" s="20"/>
      <c r="F542" s="30"/>
      <c r="G542" s="30"/>
      <c r="H542" s="21"/>
      <c r="I542" s="21"/>
      <c r="J542" s="8" t="str">
        <f>IF(OR(A542="",I542=""),"",IF(SUMIFS($I$8:$I$657,$A$8:$A$657,A542)=0,"",I542*SUMIFS('Facturas y gastos'!$D$10:$D$13,'Facturas y gastos'!$A$10:$A$13,A542)/SUMIFS($I$8:$I$657,$A$8:$A$657,A542)))</f>
        <v/>
      </c>
      <c r="K542" s="8" t="str">
        <f>IF(J542="","",IF(SUMIFS('Facturas y gastos'!$D$10:$D$13,'Facturas y gastos'!$A$10:$A$13,A542)=0,"",J542*SUMIFS('Facturas y gastos'!$G$10:$G$13,'Facturas y gastos'!$A$10:$A$13,A542)/SUMIFS('Facturas y gastos'!$D$10:$D$13,'Facturas y gastos'!$A$10:$A$13,A542)))</f>
        <v/>
      </c>
      <c r="L542" s="8" t="str">
        <f>IF(J542="","",IF(SUMIFS('Facturas y gastos'!$D$10:$D$13,'Facturas y gastos'!$A$10:$A$13,A542)=0,"",J542*SUMIFS('Facturas y gastos'!$H$10:$H$13,'Facturas y gastos'!$A$10:$A$13,A542)/SUMIFS('Facturas y gastos'!$D$10:$D$13,'Facturas y gastos'!$A$10:$A$13,A542)))</f>
        <v/>
      </c>
      <c r="M542" s="8" t="str">
        <f>IF(J542="","",IF(SUMIFS('Facturas y gastos'!$D$10:$D$13,'Facturas y gastos'!$A$10:$A$13,A542)=0,"",J542*SUMIFS('Facturas y gastos'!$I$10:$I$13,'Facturas y gastos'!$A$10:$A$13,A542)/SUMIFS('Facturas y gastos'!$D$10:$D$13,'Facturas y gastos'!$A$10:$A$13,A542)))</f>
        <v/>
      </c>
      <c r="N542" s="8" t="str">
        <f>IF(J542="","",IF(SUMIFS('Facturas y gastos'!$D$10:$D$13,'Facturas y gastos'!$A$10:$A$13,A542)=0,"",J542*SUMIFS('Facturas y gastos'!$J$10:$J$13,'Facturas y gastos'!$A$10:$A$13,A542)/SUMIFS('Facturas y gastos'!$D$10:$D$13,'Facturas y gastos'!$A$10:$A$13,A542)))</f>
        <v/>
      </c>
      <c r="O542" s="8" t="str">
        <f t="shared" si="16"/>
        <v/>
      </c>
      <c r="P542" s="8" t="str">
        <f>IF(OR(O542="",'Facturas y gastos'!$B$24="",'Facturas y gastos'!$B$45&lt;&gt;"OK",SUM($O$8:$O$657)=0),"",O542*'Facturas y gastos'!$B$43/SUM($O$8:$O$657))</f>
        <v/>
      </c>
      <c r="Q542" s="8" t="str">
        <f>IF(OR(O542="",'Facturas y gastos'!$B$5="",P542=""),"",O542*'Facturas y gastos'!$B$5+P542)</f>
        <v/>
      </c>
      <c r="R542" s="8" t="str">
        <f t="shared" si="17"/>
        <v/>
      </c>
    </row>
    <row r="543" spans="1:18">
      <c r="A543" s="20"/>
      <c r="B543" s="20"/>
      <c r="C543" s="20"/>
      <c r="D543" s="20"/>
      <c r="E543" s="20"/>
      <c r="F543" s="30"/>
      <c r="G543" s="30"/>
      <c r="H543" s="21"/>
      <c r="I543" s="21"/>
      <c r="J543" s="8" t="str">
        <f>IF(OR(A543="",I543=""),"",IF(SUMIFS($I$8:$I$657,$A$8:$A$657,A543)=0,"",I543*SUMIFS('Facturas y gastos'!$D$10:$D$13,'Facturas y gastos'!$A$10:$A$13,A543)/SUMIFS($I$8:$I$657,$A$8:$A$657,A543)))</f>
        <v/>
      </c>
      <c r="K543" s="8" t="str">
        <f>IF(J543="","",IF(SUMIFS('Facturas y gastos'!$D$10:$D$13,'Facturas y gastos'!$A$10:$A$13,A543)=0,"",J543*SUMIFS('Facturas y gastos'!$G$10:$G$13,'Facturas y gastos'!$A$10:$A$13,A543)/SUMIFS('Facturas y gastos'!$D$10:$D$13,'Facturas y gastos'!$A$10:$A$13,A543)))</f>
        <v/>
      </c>
      <c r="L543" s="8" t="str">
        <f>IF(J543="","",IF(SUMIFS('Facturas y gastos'!$D$10:$D$13,'Facturas y gastos'!$A$10:$A$13,A543)=0,"",J543*SUMIFS('Facturas y gastos'!$H$10:$H$13,'Facturas y gastos'!$A$10:$A$13,A543)/SUMIFS('Facturas y gastos'!$D$10:$D$13,'Facturas y gastos'!$A$10:$A$13,A543)))</f>
        <v/>
      </c>
      <c r="M543" s="8" t="str">
        <f>IF(J543="","",IF(SUMIFS('Facturas y gastos'!$D$10:$D$13,'Facturas y gastos'!$A$10:$A$13,A543)=0,"",J543*SUMIFS('Facturas y gastos'!$I$10:$I$13,'Facturas y gastos'!$A$10:$A$13,A543)/SUMIFS('Facturas y gastos'!$D$10:$D$13,'Facturas y gastos'!$A$10:$A$13,A543)))</f>
        <v/>
      </c>
      <c r="N543" s="8" t="str">
        <f>IF(J543="","",IF(SUMIFS('Facturas y gastos'!$D$10:$D$13,'Facturas y gastos'!$A$10:$A$13,A543)=0,"",J543*SUMIFS('Facturas y gastos'!$J$10:$J$13,'Facturas y gastos'!$A$10:$A$13,A543)/SUMIFS('Facturas y gastos'!$D$10:$D$13,'Facturas y gastos'!$A$10:$A$13,A543)))</f>
        <v/>
      </c>
      <c r="O543" s="8" t="str">
        <f t="shared" si="16"/>
        <v/>
      </c>
      <c r="P543" s="8" t="str">
        <f>IF(OR(O543="",'Facturas y gastos'!$B$24="",'Facturas y gastos'!$B$45&lt;&gt;"OK",SUM($O$8:$O$657)=0),"",O543*'Facturas y gastos'!$B$43/SUM($O$8:$O$657))</f>
        <v/>
      </c>
      <c r="Q543" s="8" t="str">
        <f>IF(OR(O543="",'Facturas y gastos'!$B$5="",P543=""),"",O543*'Facturas y gastos'!$B$5+P543)</f>
        <v/>
      </c>
      <c r="R543" s="8" t="str">
        <f t="shared" si="17"/>
        <v/>
      </c>
    </row>
    <row r="544" spans="1:18">
      <c r="A544" s="20"/>
      <c r="B544" s="20"/>
      <c r="C544" s="20"/>
      <c r="D544" s="20"/>
      <c r="E544" s="20"/>
      <c r="F544" s="30"/>
      <c r="G544" s="30"/>
      <c r="H544" s="21"/>
      <c r="I544" s="21"/>
      <c r="J544" s="8" t="str">
        <f>IF(OR(A544="",I544=""),"",IF(SUMIFS($I$8:$I$657,$A$8:$A$657,A544)=0,"",I544*SUMIFS('Facturas y gastos'!$D$10:$D$13,'Facturas y gastos'!$A$10:$A$13,A544)/SUMIFS($I$8:$I$657,$A$8:$A$657,A544)))</f>
        <v/>
      </c>
      <c r="K544" s="8" t="str">
        <f>IF(J544="","",IF(SUMIFS('Facturas y gastos'!$D$10:$D$13,'Facturas y gastos'!$A$10:$A$13,A544)=0,"",J544*SUMIFS('Facturas y gastos'!$G$10:$G$13,'Facturas y gastos'!$A$10:$A$13,A544)/SUMIFS('Facturas y gastos'!$D$10:$D$13,'Facturas y gastos'!$A$10:$A$13,A544)))</f>
        <v/>
      </c>
      <c r="L544" s="8" t="str">
        <f>IF(J544="","",IF(SUMIFS('Facturas y gastos'!$D$10:$D$13,'Facturas y gastos'!$A$10:$A$13,A544)=0,"",J544*SUMIFS('Facturas y gastos'!$H$10:$H$13,'Facturas y gastos'!$A$10:$A$13,A544)/SUMIFS('Facturas y gastos'!$D$10:$D$13,'Facturas y gastos'!$A$10:$A$13,A544)))</f>
        <v/>
      </c>
      <c r="M544" s="8" t="str">
        <f>IF(J544="","",IF(SUMIFS('Facturas y gastos'!$D$10:$D$13,'Facturas y gastos'!$A$10:$A$13,A544)=0,"",J544*SUMIFS('Facturas y gastos'!$I$10:$I$13,'Facturas y gastos'!$A$10:$A$13,A544)/SUMIFS('Facturas y gastos'!$D$10:$D$13,'Facturas y gastos'!$A$10:$A$13,A544)))</f>
        <v/>
      </c>
      <c r="N544" s="8" t="str">
        <f>IF(J544="","",IF(SUMIFS('Facturas y gastos'!$D$10:$D$13,'Facturas y gastos'!$A$10:$A$13,A544)=0,"",J544*SUMIFS('Facturas y gastos'!$J$10:$J$13,'Facturas y gastos'!$A$10:$A$13,A544)/SUMIFS('Facturas y gastos'!$D$10:$D$13,'Facturas y gastos'!$A$10:$A$13,A544)))</f>
        <v/>
      </c>
      <c r="O544" s="8" t="str">
        <f t="shared" si="16"/>
        <v/>
      </c>
      <c r="P544" s="8" t="str">
        <f>IF(OR(O544="",'Facturas y gastos'!$B$24="",'Facturas y gastos'!$B$45&lt;&gt;"OK",SUM($O$8:$O$657)=0),"",O544*'Facturas y gastos'!$B$43/SUM($O$8:$O$657))</f>
        <v/>
      </c>
      <c r="Q544" s="8" t="str">
        <f>IF(OR(O544="",'Facturas y gastos'!$B$5="",P544=""),"",O544*'Facturas y gastos'!$B$5+P544)</f>
        <v/>
      </c>
      <c r="R544" s="8" t="str">
        <f t="shared" si="17"/>
        <v/>
      </c>
    </row>
    <row r="545" spans="1:18">
      <c r="A545" s="20"/>
      <c r="B545" s="20"/>
      <c r="C545" s="20"/>
      <c r="D545" s="20"/>
      <c r="E545" s="20"/>
      <c r="F545" s="30"/>
      <c r="G545" s="30"/>
      <c r="H545" s="21"/>
      <c r="I545" s="21"/>
      <c r="J545" s="8" t="str">
        <f>IF(OR(A545="",I545=""),"",IF(SUMIFS($I$8:$I$657,$A$8:$A$657,A545)=0,"",I545*SUMIFS('Facturas y gastos'!$D$10:$D$13,'Facturas y gastos'!$A$10:$A$13,A545)/SUMIFS($I$8:$I$657,$A$8:$A$657,A545)))</f>
        <v/>
      </c>
      <c r="K545" s="8" t="str">
        <f>IF(J545="","",IF(SUMIFS('Facturas y gastos'!$D$10:$D$13,'Facturas y gastos'!$A$10:$A$13,A545)=0,"",J545*SUMIFS('Facturas y gastos'!$G$10:$G$13,'Facturas y gastos'!$A$10:$A$13,A545)/SUMIFS('Facturas y gastos'!$D$10:$D$13,'Facturas y gastos'!$A$10:$A$13,A545)))</f>
        <v/>
      </c>
      <c r="L545" s="8" t="str">
        <f>IF(J545="","",IF(SUMIFS('Facturas y gastos'!$D$10:$D$13,'Facturas y gastos'!$A$10:$A$13,A545)=0,"",J545*SUMIFS('Facturas y gastos'!$H$10:$H$13,'Facturas y gastos'!$A$10:$A$13,A545)/SUMIFS('Facturas y gastos'!$D$10:$D$13,'Facturas y gastos'!$A$10:$A$13,A545)))</f>
        <v/>
      </c>
      <c r="M545" s="8" t="str">
        <f>IF(J545="","",IF(SUMIFS('Facturas y gastos'!$D$10:$D$13,'Facturas y gastos'!$A$10:$A$13,A545)=0,"",J545*SUMIFS('Facturas y gastos'!$I$10:$I$13,'Facturas y gastos'!$A$10:$A$13,A545)/SUMIFS('Facturas y gastos'!$D$10:$D$13,'Facturas y gastos'!$A$10:$A$13,A545)))</f>
        <v/>
      </c>
      <c r="N545" s="8" t="str">
        <f>IF(J545="","",IF(SUMIFS('Facturas y gastos'!$D$10:$D$13,'Facturas y gastos'!$A$10:$A$13,A545)=0,"",J545*SUMIFS('Facturas y gastos'!$J$10:$J$13,'Facturas y gastos'!$A$10:$A$13,A545)/SUMIFS('Facturas y gastos'!$D$10:$D$13,'Facturas y gastos'!$A$10:$A$13,A545)))</f>
        <v/>
      </c>
      <c r="O545" s="8" t="str">
        <f t="shared" si="16"/>
        <v/>
      </c>
      <c r="P545" s="8" t="str">
        <f>IF(OR(O545="",'Facturas y gastos'!$B$24="",'Facturas y gastos'!$B$45&lt;&gt;"OK",SUM($O$8:$O$657)=0),"",O545*'Facturas y gastos'!$B$43/SUM($O$8:$O$657))</f>
        <v/>
      </c>
      <c r="Q545" s="8" t="str">
        <f>IF(OR(O545="",'Facturas y gastos'!$B$5="",P545=""),"",O545*'Facturas y gastos'!$B$5+P545)</f>
        <v/>
      </c>
      <c r="R545" s="8" t="str">
        <f t="shared" si="17"/>
        <v/>
      </c>
    </row>
    <row r="546" spans="1:18">
      <c r="A546" s="20"/>
      <c r="B546" s="20"/>
      <c r="C546" s="20"/>
      <c r="D546" s="20"/>
      <c r="E546" s="20"/>
      <c r="F546" s="30"/>
      <c r="G546" s="30"/>
      <c r="H546" s="21"/>
      <c r="I546" s="21"/>
      <c r="J546" s="8" t="str">
        <f>IF(OR(A546="",I546=""),"",IF(SUMIFS($I$8:$I$657,$A$8:$A$657,A546)=0,"",I546*SUMIFS('Facturas y gastos'!$D$10:$D$13,'Facturas y gastos'!$A$10:$A$13,A546)/SUMIFS($I$8:$I$657,$A$8:$A$657,A546)))</f>
        <v/>
      </c>
      <c r="K546" s="8" t="str">
        <f>IF(J546="","",IF(SUMIFS('Facturas y gastos'!$D$10:$D$13,'Facturas y gastos'!$A$10:$A$13,A546)=0,"",J546*SUMIFS('Facturas y gastos'!$G$10:$G$13,'Facturas y gastos'!$A$10:$A$13,A546)/SUMIFS('Facturas y gastos'!$D$10:$D$13,'Facturas y gastos'!$A$10:$A$13,A546)))</f>
        <v/>
      </c>
      <c r="L546" s="8" t="str">
        <f>IF(J546="","",IF(SUMIFS('Facturas y gastos'!$D$10:$D$13,'Facturas y gastos'!$A$10:$A$13,A546)=0,"",J546*SUMIFS('Facturas y gastos'!$H$10:$H$13,'Facturas y gastos'!$A$10:$A$13,A546)/SUMIFS('Facturas y gastos'!$D$10:$D$13,'Facturas y gastos'!$A$10:$A$13,A546)))</f>
        <v/>
      </c>
      <c r="M546" s="8" t="str">
        <f>IF(J546="","",IF(SUMIFS('Facturas y gastos'!$D$10:$D$13,'Facturas y gastos'!$A$10:$A$13,A546)=0,"",J546*SUMIFS('Facturas y gastos'!$I$10:$I$13,'Facturas y gastos'!$A$10:$A$13,A546)/SUMIFS('Facturas y gastos'!$D$10:$D$13,'Facturas y gastos'!$A$10:$A$13,A546)))</f>
        <v/>
      </c>
      <c r="N546" s="8" t="str">
        <f>IF(J546="","",IF(SUMIFS('Facturas y gastos'!$D$10:$D$13,'Facturas y gastos'!$A$10:$A$13,A546)=0,"",J546*SUMIFS('Facturas y gastos'!$J$10:$J$13,'Facturas y gastos'!$A$10:$A$13,A546)/SUMIFS('Facturas y gastos'!$D$10:$D$13,'Facturas y gastos'!$A$10:$A$13,A546)))</f>
        <v/>
      </c>
      <c r="O546" s="8" t="str">
        <f t="shared" si="16"/>
        <v/>
      </c>
      <c r="P546" s="8" t="str">
        <f>IF(OR(O546="",'Facturas y gastos'!$B$24="",'Facturas y gastos'!$B$45&lt;&gt;"OK",SUM($O$8:$O$657)=0),"",O546*'Facturas y gastos'!$B$43/SUM($O$8:$O$657))</f>
        <v/>
      </c>
      <c r="Q546" s="8" t="str">
        <f>IF(OR(O546="",'Facturas y gastos'!$B$5="",P546=""),"",O546*'Facturas y gastos'!$B$5+P546)</f>
        <v/>
      </c>
      <c r="R546" s="8" t="str">
        <f t="shared" si="17"/>
        <v/>
      </c>
    </row>
    <row r="547" spans="1:18">
      <c r="A547" s="20"/>
      <c r="B547" s="20"/>
      <c r="C547" s="20"/>
      <c r="D547" s="20"/>
      <c r="E547" s="20"/>
      <c r="F547" s="30"/>
      <c r="G547" s="30"/>
      <c r="H547" s="21"/>
      <c r="I547" s="21"/>
      <c r="J547" s="8" t="str">
        <f>IF(OR(A547="",I547=""),"",IF(SUMIFS($I$8:$I$657,$A$8:$A$657,A547)=0,"",I547*SUMIFS('Facturas y gastos'!$D$10:$D$13,'Facturas y gastos'!$A$10:$A$13,A547)/SUMIFS($I$8:$I$657,$A$8:$A$657,A547)))</f>
        <v/>
      </c>
      <c r="K547" s="8" t="str">
        <f>IF(J547="","",IF(SUMIFS('Facturas y gastos'!$D$10:$D$13,'Facturas y gastos'!$A$10:$A$13,A547)=0,"",J547*SUMIFS('Facturas y gastos'!$G$10:$G$13,'Facturas y gastos'!$A$10:$A$13,A547)/SUMIFS('Facturas y gastos'!$D$10:$D$13,'Facturas y gastos'!$A$10:$A$13,A547)))</f>
        <v/>
      </c>
      <c r="L547" s="8" t="str">
        <f>IF(J547="","",IF(SUMIFS('Facturas y gastos'!$D$10:$D$13,'Facturas y gastos'!$A$10:$A$13,A547)=0,"",J547*SUMIFS('Facturas y gastos'!$H$10:$H$13,'Facturas y gastos'!$A$10:$A$13,A547)/SUMIFS('Facturas y gastos'!$D$10:$D$13,'Facturas y gastos'!$A$10:$A$13,A547)))</f>
        <v/>
      </c>
      <c r="M547" s="8" t="str">
        <f>IF(J547="","",IF(SUMIFS('Facturas y gastos'!$D$10:$D$13,'Facturas y gastos'!$A$10:$A$13,A547)=0,"",J547*SUMIFS('Facturas y gastos'!$I$10:$I$13,'Facturas y gastos'!$A$10:$A$13,A547)/SUMIFS('Facturas y gastos'!$D$10:$D$13,'Facturas y gastos'!$A$10:$A$13,A547)))</f>
        <v/>
      </c>
      <c r="N547" s="8" t="str">
        <f>IF(J547="","",IF(SUMIFS('Facturas y gastos'!$D$10:$D$13,'Facturas y gastos'!$A$10:$A$13,A547)=0,"",J547*SUMIFS('Facturas y gastos'!$J$10:$J$13,'Facturas y gastos'!$A$10:$A$13,A547)/SUMIFS('Facturas y gastos'!$D$10:$D$13,'Facturas y gastos'!$A$10:$A$13,A547)))</f>
        <v/>
      </c>
      <c r="O547" s="8" t="str">
        <f t="shared" si="16"/>
        <v/>
      </c>
      <c r="P547" s="8" t="str">
        <f>IF(OR(O547="",'Facturas y gastos'!$B$24="",'Facturas y gastos'!$B$45&lt;&gt;"OK",SUM($O$8:$O$657)=0),"",O547*'Facturas y gastos'!$B$43/SUM($O$8:$O$657))</f>
        <v/>
      </c>
      <c r="Q547" s="8" t="str">
        <f>IF(OR(O547="",'Facturas y gastos'!$B$5="",P547=""),"",O547*'Facturas y gastos'!$B$5+P547)</f>
        <v/>
      </c>
      <c r="R547" s="8" t="str">
        <f t="shared" si="17"/>
        <v/>
      </c>
    </row>
    <row r="548" spans="1:18">
      <c r="A548" s="20"/>
      <c r="B548" s="20"/>
      <c r="C548" s="20"/>
      <c r="D548" s="20"/>
      <c r="E548" s="20"/>
      <c r="F548" s="30"/>
      <c r="G548" s="30"/>
      <c r="H548" s="21"/>
      <c r="I548" s="21"/>
      <c r="J548" s="8" t="str">
        <f>IF(OR(A548="",I548=""),"",IF(SUMIFS($I$8:$I$657,$A$8:$A$657,A548)=0,"",I548*SUMIFS('Facturas y gastos'!$D$10:$D$13,'Facturas y gastos'!$A$10:$A$13,A548)/SUMIFS($I$8:$I$657,$A$8:$A$657,A548)))</f>
        <v/>
      </c>
      <c r="K548" s="8" t="str">
        <f>IF(J548="","",IF(SUMIFS('Facturas y gastos'!$D$10:$D$13,'Facturas y gastos'!$A$10:$A$13,A548)=0,"",J548*SUMIFS('Facturas y gastos'!$G$10:$G$13,'Facturas y gastos'!$A$10:$A$13,A548)/SUMIFS('Facturas y gastos'!$D$10:$D$13,'Facturas y gastos'!$A$10:$A$13,A548)))</f>
        <v/>
      </c>
      <c r="L548" s="8" t="str">
        <f>IF(J548="","",IF(SUMIFS('Facturas y gastos'!$D$10:$D$13,'Facturas y gastos'!$A$10:$A$13,A548)=0,"",J548*SUMIFS('Facturas y gastos'!$H$10:$H$13,'Facturas y gastos'!$A$10:$A$13,A548)/SUMIFS('Facturas y gastos'!$D$10:$D$13,'Facturas y gastos'!$A$10:$A$13,A548)))</f>
        <v/>
      </c>
      <c r="M548" s="8" t="str">
        <f>IF(J548="","",IF(SUMIFS('Facturas y gastos'!$D$10:$D$13,'Facturas y gastos'!$A$10:$A$13,A548)=0,"",J548*SUMIFS('Facturas y gastos'!$I$10:$I$13,'Facturas y gastos'!$A$10:$A$13,A548)/SUMIFS('Facturas y gastos'!$D$10:$D$13,'Facturas y gastos'!$A$10:$A$13,A548)))</f>
        <v/>
      </c>
      <c r="N548" s="8" t="str">
        <f>IF(J548="","",IF(SUMIFS('Facturas y gastos'!$D$10:$D$13,'Facturas y gastos'!$A$10:$A$13,A548)=0,"",J548*SUMIFS('Facturas y gastos'!$J$10:$J$13,'Facturas y gastos'!$A$10:$A$13,A548)/SUMIFS('Facturas y gastos'!$D$10:$D$13,'Facturas y gastos'!$A$10:$A$13,A548)))</f>
        <v/>
      </c>
      <c r="O548" s="8" t="str">
        <f t="shared" si="16"/>
        <v/>
      </c>
      <c r="P548" s="8" t="str">
        <f>IF(OR(O548="",'Facturas y gastos'!$B$24="",'Facturas y gastos'!$B$45&lt;&gt;"OK",SUM($O$8:$O$657)=0),"",O548*'Facturas y gastos'!$B$43/SUM($O$8:$O$657))</f>
        <v/>
      </c>
      <c r="Q548" s="8" t="str">
        <f>IF(OR(O548="",'Facturas y gastos'!$B$5="",P548=""),"",O548*'Facturas y gastos'!$B$5+P548)</f>
        <v/>
      </c>
      <c r="R548" s="8" t="str">
        <f t="shared" si="17"/>
        <v/>
      </c>
    </row>
    <row r="549" spans="1:18">
      <c r="A549" s="20"/>
      <c r="B549" s="20"/>
      <c r="C549" s="20"/>
      <c r="D549" s="20"/>
      <c r="E549" s="20"/>
      <c r="F549" s="30"/>
      <c r="G549" s="30"/>
      <c r="H549" s="21"/>
      <c r="I549" s="21"/>
      <c r="J549" s="8" t="str">
        <f>IF(OR(A549="",I549=""),"",IF(SUMIFS($I$8:$I$657,$A$8:$A$657,A549)=0,"",I549*SUMIFS('Facturas y gastos'!$D$10:$D$13,'Facturas y gastos'!$A$10:$A$13,A549)/SUMIFS($I$8:$I$657,$A$8:$A$657,A549)))</f>
        <v/>
      </c>
      <c r="K549" s="8" t="str">
        <f>IF(J549="","",IF(SUMIFS('Facturas y gastos'!$D$10:$D$13,'Facturas y gastos'!$A$10:$A$13,A549)=0,"",J549*SUMIFS('Facturas y gastos'!$G$10:$G$13,'Facturas y gastos'!$A$10:$A$13,A549)/SUMIFS('Facturas y gastos'!$D$10:$D$13,'Facturas y gastos'!$A$10:$A$13,A549)))</f>
        <v/>
      </c>
      <c r="L549" s="8" t="str">
        <f>IF(J549="","",IF(SUMIFS('Facturas y gastos'!$D$10:$D$13,'Facturas y gastos'!$A$10:$A$13,A549)=0,"",J549*SUMIFS('Facturas y gastos'!$H$10:$H$13,'Facturas y gastos'!$A$10:$A$13,A549)/SUMIFS('Facturas y gastos'!$D$10:$D$13,'Facturas y gastos'!$A$10:$A$13,A549)))</f>
        <v/>
      </c>
      <c r="M549" s="8" t="str">
        <f>IF(J549="","",IF(SUMIFS('Facturas y gastos'!$D$10:$D$13,'Facturas y gastos'!$A$10:$A$13,A549)=0,"",J549*SUMIFS('Facturas y gastos'!$I$10:$I$13,'Facturas y gastos'!$A$10:$A$13,A549)/SUMIFS('Facturas y gastos'!$D$10:$D$13,'Facturas y gastos'!$A$10:$A$13,A549)))</f>
        <v/>
      </c>
      <c r="N549" s="8" t="str">
        <f>IF(J549="","",IF(SUMIFS('Facturas y gastos'!$D$10:$D$13,'Facturas y gastos'!$A$10:$A$13,A549)=0,"",J549*SUMIFS('Facturas y gastos'!$J$10:$J$13,'Facturas y gastos'!$A$10:$A$13,A549)/SUMIFS('Facturas y gastos'!$D$10:$D$13,'Facturas y gastos'!$A$10:$A$13,A549)))</f>
        <v/>
      </c>
      <c r="O549" s="8" t="str">
        <f t="shared" si="16"/>
        <v/>
      </c>
      <c r="P549" s="8" t="str">
        <f>IF(OR(O549="",'Facturas y gastos'!$B$24="",'Facturas y gastos'!$B$45&lt;&gt;"OK",SUM($O$8:$O$657)=0),"",O549*'Facturas y gastos'!$B$43/SUM($O$8:$O$657))</f>
        <v/>
      </c>
      <c r="Q549" s="8" t="str">
        <f>IF(OR(O549="",'Facturas y gastos'!$B$5="",P549=""),"",O549*'Facturas y gastos'!$B$5+P549)</f>
        <v/>
      </c>
      <c r="R549" s="8" t="str">
        <f t="shared" si="17"/>
        <v/>
      </c>
    </row>
    <row r="550" spans="1:18">
      <c r="A550" s="20"/>
      <c r="B550" s="20"/>
      <c r="C550" s="20"/>
      <c r="D550" s="20"/>
      <c r="E550" s="20"/>
      <c r="F550" s="30"/>
      <c r="G550" s="30"/>
      <c r="H550" s="21"/>
      <c r="I550" s="21"/>
      <c r="J550" s="8" t="str">
        <f>IF(OR(A550="",I550=""),"",IF(SUMIFS($I$8:$I$657,$A$8:$A$657,A550)=0,"",I550*SUMIFS('Facturas y gastos'!$D$10:$D$13,'Facturas y gastos'!$A$10:$A$13,A550)/SUMIFS($I$8:$I$657,$A$8:$A$657,A550)))</f>
        <v/>
      </c>
      <c r="K550" s="8" t="str">
        <f>IF(J550="","",IF(SUMIFS('Facturas y gastos'!$D$10:$D$13,'Facturas y gastos'!$A$10:$A$13,A550)=0,"",J550*SUMIFS('Facturas y gastos'!$G$10:$G$13,'Facturas y gastos'!$A$10:$A$13,A550)/SUMIFS('Facturas y gastos'!$D$10:$D$13,'Facturas y gastos'!$A$10:$A$13,A550)))</f>
        <v/>
      </c>
      <c r="L550" s="8" t="str">
        <f>IF(J550="","",IF(SUMIFS('Facturas y gastos'!$D$10:$D$13,'Facturas y gastos'!$A$10:$A$13,A550)=0,"",J550*SUMIFS('Facturas y gastos'!$H$10:$H$13,'Facturas y gastos'!$A$10:$A$13,A550)/SUMIFS('Facturas y gastos'!$D$10:$D$13,'Facturas y gastos'!$A$10:$A$13,A550)))</f>
        <v/>
      </c>
      <c r="M550" s="8" t="str">
        <f>IF(J550="","",IF(SUMIFS('Facturas y gastos'!$D$10:$D$13,'Facturas y gastos'!$A$10:$A$13,A550)=0,"",J550*SUMIFS('Facturas y gastos'!$I$10:$I$13,'Facturas y gastos'!$A$10:$A$13,A550)/SUMIFS('Facturas y gastos'!$D$10:$D$13,'Facturas y gastos'!$A$10:$A$13,A550)))</f>
        <v/>
      </c>
      <c r="N550" s="8" t="str">
        <f>IF(J550="","",IF(SUMIFS('Facturas y gastos'!$D$10:$D$13,'Facturas y gastos'!$A$10:$A$13,A550)=0,"",J550*SUMIFS('Facturas y gastos'!$J$10:$J$13,'Facturas y gastos'!$A$10:$A$13,A550)/SUMIFS('Facturas y gastos'!$D$10:$D$13,'Facturas y gastos'!$A$10:$A$13,A550)))</f>
        <v/>
      </c>
      <c r="O550" s="8" t="str">
        <f t="shared" si="16"/>
        <v/>
      </c>
      <c r="P550" s="8" t="str">
        <f>IF(OR(O550="",'Facturas y gastos'!$B$24="",'Facturas y gastos'!$B$45&lt;&gt;"OK",SUM($O$8:$O$657)=0),"",O550*'Facturas y gastos'!$B$43/SUM($O$8:$O$657))</f>
        <v/>
      </c>
      <c r="Q550" s="8" t="str">
        <f>IF(OR(O550="",'Facturas y gastos'!$B$5="",P550=""),"",O550*'Facturas y gastos'!$B$5+P550)</f>
        <v/>
      </c>
      <c r="R550" s="8" t="str">
        <f t="shared" si="17"/>
        <v/>
      </c>
    </row>
    <row r="551" spans="1:18">
      <c r="A551" s="20"/>
      <c r="B551" s="20"/>
      <c r="C551" s="20"/>
      <c r="D551" s="20"/>
      <c r="E551" s="20"/>
      <c r="F551" s="30"/>
      <c r="G551" s="30"/>
      <c r="H551" s="21"/>
      <c r="I551" s="21"/>
      <c r="J551" s="8" t="str">
        <f>IF(OR(A551="",I551=""),"",IF(SUMIFS($I$8:$I$657,$A$8:$A$657,A551)=0,"",I551*SUMIFS('Facturas y gastos'!$D$10:$D$13,'Facturas y gastos'!$A$10:$A$13,A551)/SUMIFS($I$8:$I$657,$A$8:$A$657,A551)))</f>
        <v/>
      </c>
      <c r="K551" s="8" t="str">
        <f>IF(J551="","",IF(SUMIFS('Facturas y gastos'!$D$10:$D$13,'Facturas y gastos'!$A$10:$A$13,A551)=0,"",J551*SUMIFS('Facturas y gastos'!$G$10:$G$13,'Facturas y gastos'!$A$10:$A$13,A551)/SUMIFS('Facturas y gastos'!$D$10:$D$13,'Facturas y gastos'!$A$10:$A$13,A551)))</f>
        <v/>
      </c>
      <c r="L551" s="8" t="str">
        <f>IF(J551="","",IF(SUMIFS('Facturas y gastos'!$D$10:$D$13,'Facturas y gastos'!$A$10:$A$13,A551)=0,"",J551*SUMIFS('Facturas y gastos'!$H$10:$H$13,'Facturas y gastos'!$A$10:$A$13,A551)/SUMIFS('Facturas y gastos'!$D$10:$D$13,'Facturas y gastos'!$A$10:$A$13,A551)))</f>
        <v/>
      </c>
      <c r="M551" s="8" t="str">
        <f>IF(J551="","",IF(SUMIFS('Facturas y gastos'!$D$10:$D$13,'Facturas y gastos'!$A$10:$A$13,A551)=0,"",J551*SUMIFS('Facturas y gastos'!$I$10:$I$13,'Facturas y gastos'!$A$10:$A$13,A551)/SUMIFS('Facturas y gastos'!$D$10:$D$13,'Facturas y gastos'!$A$10:$A$13,A551)))</f>
        <v/>
      </c>
      <c r="N551" s="8" t="str">
        <f>IF(J551="","",IF(SUMIFS('Facturas y gastos'!$D$10:$D$13,'Facturas y gastos'!$A$10:$A$13,A551)=0,"",J551*SUMIFS('Facturas y gastos'!$J$10:$J$13,'Facturas y gastos'!$A$10:$A$13,A551)/SUMIFS('Facturas y gastos'!$D$10:$D$13,'Facturas y gastos'!$A$10:$A$13,A551)))</f>
        <v/>
      </c>
      <c r="O551" s="8" t="str">
        <f t="shared" si="16"/>
        <v/>
      </c>
      <c r="P551" s="8" t="str">
        <f>IF(OR(O551="",'Facturas y gastos'!$B$24="",'Facturas y gastos'!$B$45&lt;&gt;"OK",SUM($O$8:$O$657)=0),"",O551*'Facturas y gastos'!$B$43/SUM($O$8:$O$657))</f>
        <v/>
      </c>
      <c r="Q551" s="8" t="str">
        <f>IF(OR(O551="",'Facturas y gastos'!$B$5="",P551=""),"",O551*'Facturas y gastos'!$B$5+P551)</f>
        <v/>
      </c>
      <c r="R551" s="8" t="str">
        <f t="shared" si="17"/>
        <v/>
      </c>
    </row>
    <row r="552" spans="1:18">
      <c r="A552" s="20"/>
      <c r="B552" s="20"/>
      <c r="C552" s="20"/>
      <c r="D552" s="20"/>
      <c r="E552" s="20"/>
      <c r="F552" s="30"/>
      <c r="G552" s="30"/>
      <c r="H552" s="21"/>
      <c r="I552" s="21"/>
      <c r="J552" s="8" t="str">
        <f>IF(OR(A552="",I552=""),"",IF(SUMIFS($I$8:$I$657,$A$8:$A$657,A552)=0,"",I552*SUMIFS('Facturas y gastos'!$D$10:$D$13,'Facturas y gastos'!$A$10:$A$13,A552)/SUMIFS($I$8:$I$657,$A$8:$A$657,A552)))</f>
        <v/>
      </c>
      <c r="K552" s="8" t="str">
        <f>IF(J552="","",IF(SUMIFS('Facturas y gastos'!$D$10:$D$13,'Facturas y gastos'!$A$10:$A$13,A552)=0,"",J552*SUMIFS('Facturas y gastos'!$G$10:$G$13,'Facturas y gastos'!$A$10:$A$13,A552)/SUMIFS('Facturas y gastos'!$D$10:$D$13,'Facturas y gastos'!$A$10:$A$13,A552)))</f>
        <v/>
      </c>
      <c r="L552" s="8" t="str">
        <f>IF(J552="","",IF(SUMIFS('Facturas y gastos'!$D$10:$D$13,'Facturas y gastos'!$A$10:$A$13,A552)=0,"",J552*SUMIFS('Facturas y gastos'!$H$10:$H$13,'Facturas y gastos'!$A$10:$A$13,A552)/SUMIFS('Facturas y gastos'!$D$10:$D$13,'Facturas y gastos'!$A$10:$A$13,A552)))</f>
        <v/>
      </c>
      <c r="M552" s="8" t="str">
        <f>IF(J552="","",IF(SUMIFS('Facturas y gastos'!$D$10:$D$13,'Facturas y gastos'!$A$10:$A$13,A552)=0,"",J552*SUMIFS('Facturas y gastos'!$I$10:$I$13,'Facturas y gastos'!$A$10:$A$13,A552)/SUMIFS('Facturas y gastos'!$D$10:$D$13,'Facturas y gastos'!$A$10:$A$13,A552)))</f>
        <v/>
      </c>
      <c r="N552" s="8" t="str">
        <f>IF(J552="","",IF(SUMIFS('Facturas y gastos'!$D$10:$D$13,'Facturas y gastos'!$A$10:$A$13,A552)=0,"",J552*SUMIFS('Facturas y gastos'!$J$10:$J$13,'Facturas y gastos'!$A$10:$A$13,A552)/SUMIFS('Facturas y gastos'!$D$10:$D$13,'Facturas y gastos'!$A$10:$A$13,A552)))</f>
        <v/>
      </c>
      <c r="O552" s="8" t="str">
        <f t="shared" si="16"/>
        <v/>
      </c>
      <c r="P552" s="8" t="str">
        <f>IF(OR(O552="",'Facturas y gastos'!$B$24="",'Facturas y gastos'!$B$45&lt;&gt;"OK",SUM($O$8:$O$657)=0),"",O552*'Facturas y gastos'!$B$43/SUM($O$8:$O$657))</f>
        <v/>
      </c>
      <c r="Q552" s="8" t="str">
        <f>IF(OR(O552="",'Facturas y gastos'!$B$5="",P552=""),"",O552*'Facturas y gastos'!$B$5+P552)</f>
        <v/>
      </c>
      <c r="R552" s="8" t="str">
        <f t="shared" si="17"/>
        <v/>
      </c>
    </row>
    <row r="553" spans="1:18">
      <c r="A553" s="20"/>
      <c r="B553" s="20"/>
      <c r="C553" s="20"/>
      <c r="D553" s="20"/>
      <c r="E553" s="20"/>
      <c r="F553" s="30"/>
      <c r="G553" s="30"/>
      <c r="H553" s="21"/>
      <c r="I553" s="21"/>
      <c r="J553" s="8" t="str">
        <f>IF(OR(A553="",I553=""),"",IF(SUMIFS($I$8:$I$657,$A$8:$A$657,A553)=0,"",I553*SUMIFS('Facturas y gastos'!$D$10:$D$13,'Facturas y gastos'!$A$10:$A$13,A553)/SUMIFS($I$8:$I$657,$A$8:$A$657,A553)))</f>
        <v/>
      </c>
      <c r="K553" s="8" t="str">
        <f>IF(J553="","",IF(SUMIFS('Facturas y gastos'!$D$10:$D$13,'Facturas y gastos'!$A$10:$A$13,A553)=0,"",J553*SUMIFS('Facturas y gastos'!$G$10:$G$13,'Facturas y gastos'!$A$10:$A$13,A553)/SUMIFS('Facturas y gastos'!$D$10:$D$13,'Facturas y gastos'!$A$10:$A$13,A553)))</f>
        <v/>
      </c>
      <c r="L553" s="8" t="str">
        <f>IF(J553="","",IF(SUMIFS('Facturas y gastos'!$D$10:$D$13,'Facturas y gastos'!$A$10:$A$13,A553)=0,"",J553*SUMIFS('Facturas y gastos'!$H$10:$H$13,'Facturas y gastos'!$A$10:$A$13,A553)/SUMIFS('Facturas y gastos'!$D$10:$D$13,'Facturas y gastos'!$A$10:$A$13,A553)))</f>
        <v/>
      </c>
      <c r="M553" s="8" t="str">
        <f>IF(J553="","",IF(SUMIFS('Facturas y gastos'!$D$10:$D$13,'Facturas y gastos'!$A$10:$A$13,A553)=0,"",J553*SUMIFS('Facturas y gastos'!$I$10:$I$13,'Facturas y gastos'!$A$10:$A$13,A553)/SUMIFS('Facturas y gastos'!$D$10:$D$13,'Facturas y gastos'!$A$10:$A$13,A553)))</f>
        <v/>
      </c>
      <c r="N553" s="8" t="str">
        <f>IF(J553="","",IF(SUMIFS('Facturas y gastos'!$D$10:$D$13,'Facturas y gastos'!$A$10:$A$13,A553)=0,"",J553*SUMIFS('Facturas y gastos'!$J$10:$J$13,'Facturas y gastos'!$A$10:$A$13,A553)/SUMIFS('Facturas y gastos'!$D$10:$D$13,'Facturas y gastos'!$A$10:$A$13,A553)))</f>
        <v/>
      </c>
      <c r="O553" s="8" t="str">
        <f t="shared" si="16"/>
        <v/>
      </c>
      <c r="P553" s="8" t="str">
        <f>IF(OR(O553="",'Facturas y gastos'!$B$24="",'Facturas y gastos'!$B$45&lt;&gt;"OK",SUM($O$8:$O$657)=0),"",O553*'Facturas y gastos'!$B$43/SUM($O$8:$O$657))</f>
        <v/>
      </c>
      <c r="Q553" s="8" t="str">
        <f>IF(OR(O553="",'Facturas y gastos'!$B$5="",P553=""),"",O553*'Facturas y gastos'!$B$5+P553)</f>
        <v/>
      </c>
      <c r="R553" s="8" t="str">
        <f t="shared" si="17"/>
        <v/>
      </c>
    </row>
    <row r="554" spans="1:18">
      <c r="A554" s="20"/>
      <c r="B554" s="20"/>
      <c r="C554" s="20"/>
      <c r="D554" s="20"/>
      <c r="E554" s="20"/>
      <c r="F554" s="30"/>
      <c r="G554" s="30"/>
      <c r="H554" s="21"/>
      <c r="I554" s="21"/>
      <c r="J554" s="8" t="str">
        <f>IF(OR(A554="",I554=""),"",IF(SUMIFS($I$8:$I$657,$A$8:$A$657,A554)=0,"",I554*SUMIFS('Facturas y gastos'!$D$10:$D$13,'Facturas y gastos'!$A$10:$A$13,A554)/SUMIFS($I$8:$I$657,$A$8:$A$657,A554)))</f>
        <v/>
      </c>
      <c r="K554" s="8" t="str">
        <f>IF(J554="","",IF(SUMIFS('Facturas y gastos'!$D$10:$D$13,'Facturas y gastos'!$A$10:$A$13,A554)=0,"",J554*SUMIFS('Facturas y gastos'!$G$10:$G$13,'Facturas y gastos'!$A$10:$A$13,A554)/SUMIFS('Facturas y gastos'!$D$10:$D$13,'Facturas y gastos'!$A$10:$A$13,A554)))</f>
        <v/>
      </c>
      <c r="L554" s="8" t="str">
        <f>IF(J554="","",IF(SUMIFS('Facturas y gastos'!$D$10:$D$13,'Facturas y gastos'!$A$10:$A$13,A554)=0,"",J554*SUMIFS('Facturas y gastos'!$H$10:$H$13,'Facturas y gastos'!$A$10:$A$13,A554)/SUMIFS('Facturas y gastos'!$D$10:$D$13,'Facturas y gastos'!$A$10:$A$13,A554)))</f>
        <v/>
      </c>
      <c r="M554" s="8" t="str">
        <f>IF(J554="","",IF(SUMIFS('Facturas y gastos'!$D$10:$D$13,'Facturas y gastos'!$A$10:$A$13,A554)=0,"",J554*SUMIFS('Facturas y gastos'!$I$10:$I$13,'Facturas y gastos'!$A$10:$A$13,A554)/SUMIFS('Facturas y gastos'!$D$10:$D$13,'Facturas y gastos'!$A$10:$A$13,A554)))</f>
        <v/>
      </c>
      <c r="N554" s="8" t="str">
        <f>IF(J554="","",IF(SUMIFS('Facturas y gastos'!$D$10:$D$13,'Facturas y gastos'!$A$10:$A$13,A554)=0,"",J554*SUMIFS('Facturas y gastos'!$J$10:$J$13,'Facturas y gastos'!$A$10:$A$13,A554)/SUMIFS('Facturas y gastos'!$D$10:$D$13,'Facturas y gastos'!$A$10:$A$13,A554)))</f>
        <v/>
      </c>
      <c r="O554" s="8" t="str">
        <f t="shared" si="16"/>
        <v/>
      </c>
      <c r="P554" s="8" t="str">
        <f>IF(OR(O554="",'Facturas y gastos'!$B$24="",'Facturas y gastos'!$B$45&lt;&gt;"OK",SUM($O$8:$O$657)=0),"",O554*'Facturas y gastos'!$B$43/SUM($O$8:$O$657))</f>
        <v/>
      </c>
      <c r="Q554" s="8" t="str">
        <f>IF(OR(O554="",'Facturas y gastos'!$B$5="",P554=""),"",O554*'Facturas y gastos'!$B$5+P554)</f>
        <v/>
      </c>
      <c r="R554" s="8" t="str">
        <f t="shared" si="17"/>
        <v/>
      </c>
    </row>
    <row r="555" spans="1:18">
      <c r="A555" s="20"/>
      <c r="B555" s="20"/>
      <c r="C555" s="20"/>
      <c r="D555" s="20"/>
      <c r="E555" s="20"/>
      <c r="F555" s="30"/>
      <c r="G555" s="30"/>
      <c r="H555" s="21"/>
      <c r="I555" s="21"/>
      <c r="J555" s="8" t="str">
        <f>IF(OR(A555="",I555=""),"",IF(SUMIFS($I$8:$I$657,$A$8:$A$657,A555)=0,"",I555*SUMIFS('Facturas y gastos'!$D$10:$D$13,'Facturas y gastos'!$A$10:$A$13,A555)/SUMIFS($I$8:$I$657,$A$8:$A$657,A555)))</f>
        <v/>
      </c>
      <c r="K555" s="8" t="str">
        <f>IF(J555="","",IF(SUMIFS('Facturas y gastos'!$D$10:$D$13,'Facturas y gastos'!$A$10:$A$13,A555)=0,"",J555*SUMIFS('Facturas y gastos'!$G$10:$G$13,'Facturas y gastos'!$A$10:$A$13,A555)/SUMIFS('Facturas y gastos'!$D$10:$D$13,'Facturas y gastos'!$A$10:$A$13,A555)))</f>
        <v/>
      </c>
      <c r="L555" s="8" t="str">
        <f>IF(J555="","",IF(SUMIFS('Facturas y gastos'!$D$10:$D$13,'Facturas y gastos'!$A$10:$A$13,A555)=0,"",J555*SUMIFS('Facturas y gastos'!$H$10:$H$13,'Facturas y gastos'!$A$10:$A$13,A555)/SUMIFS('Facturas y gastos'!$D$10:$D$13,'Facturas y gastos'!$A$10:$A$13,A555)))</f>
        <v/>
      </c>
      <c r="M555" s="8" t="str">
        <f>IF(J555="","",IF(SUMIFS('Facturas y gastos'!$D$10:$D$13,'Facturas y gastos'!$A$10:$A$13,A555)=0,"",J555*SUMIFS('Facturas y gastos'!$I$10:$I$13,'Facturas y gastos'!$A$10:$A$13,A555)/SUMIFS('Facturas y gastos'!$D$10:$D$13,'Facturas y gastos'!$A$10:$A$13,A555)))</f>
        <v/>
      </c>
      <c r="N555" s="8" t="str">
        <f>IF(J555="","",IF(SUMIFS('Facturas y gastos'!$D$10:$D$13,'Facturas y gastos'!$A$10:$A$13,A555)=0,"",J555*SUMIFS('Facturas y gastos'!$J$10:$J$13,'Facturas y gastos'!$A$10:$A$13,A555)/SUMIFS('Facturas y gastos'!$D$10:$D$13,'Facturas y gastos'!$A$10:$A$13,A555)))</f>
        <v/>
      </c>
      <c r="O555" s="8" t="str">
        <f t="shared" si="16"/>
        <v/>
      </c>
      <c r="P555" s="8" t="str">
        <f>IF(OR(O555="",'Facturas y gastos'!$B$24="",'Facturas y gastos'!$B$45&lt;&gt;"OK",SUM($O$8:$O$657)=0),"",O555*'Facturas y gastos'!$B$43/SUM($O$8:$O$657))</f>
        <v/>
      </c>
      <c r="Q555" s="8" t="str">
        <f>IF(OR(O555="",'Facturas y gastos'!$B$5="",P555=""),"",O555*'Facturas y gastos'!$B$5+P555)</f>
        <v/>
      </c>
      <c r="R555" s="8" t="str">
        <f t="shared" si="17"/>
        <v/>
      </c>
    </row>
    <row r="556" spans="1:18">
      <c r="A556" s="20"/>
      <c r="B556" s="20"/>
      <c r="C556" s="20"/>
      <c r="D556" s="20"/>
      <c r="E556" s="20"/>
      <c r="F556" s="30"/>
      <c r="G556" s="30"/>
      <c r="H556" s="21"/>
      <c r="I556" s="21"/>
      <c r="J556" s="8" t="str">
        <f>IF(OR(A556="",I556=""),"",IF(SUMIFS($I$8:$I$657,$A$8:$A$657,A556)=0,"",I556*SUMIFS('Facturas y gastos'!$D$10:$D$13,'Facturas y gastos'!$A$10:$A$13,A556)/SUMIFS($I$8:$I$657,$A$8:$A$657,A556)))</f>
        <v/>
      </c>
      <c r="K556" s="8" t="str">
        <f>IF(J556="","",IF(SUMIFS('Facturas y gastos'!$D$10:$D$13,'Facturas y gastos'!$A$10:$A$13,A556)=0,"",J556*SUMIFS('Facturas y gastos'!$G$10:$G$13,'Facturas y gastos'!$A$10:$A$13,A556)/SUMIFS('Facturas y gastos'!$D$10:$D$13,'Facturas y gastos'!$A$10:$A$13,A556)))</f>
        <v/>
      </c>
      <c r="L556" s="8" t="str">
        <f>IF(J556="","",IF(SUMIFS('Facturas y gastos'!$D$10:$D$13,'Facturas y gastos'!$A$10:$A$13,A556)=0,"",J556*SUMIFS('Facturas y gastos'!$H$10:$H$13,'Facturas y gastos'!$A$10:$A$13,A556)/SUMIFS('Facturas y gastos'!$D$10:$D$13,'Facturas y gastos'!$A$10:$A$13,A556)))</f>
        <v/>
      </c>
      <c r="M556" s="8" t="str">
        <f>IF(J556="","",IF(SUMIFS('Facturas y gastos'!$D$10:$D$13,'Facturas y gastos'!$A$10:$A$13,A556)=0,"",J556*SUMIFS('Facturas y gastos'!$I$10:$I$13,'Facturas y gastos'!$A$10:$A$13,A556)/SUMIFS('Facturas y gastos'!$D$10:$D$13,'Facturas y gastos'!$A$10:$A$13,A556)))</f>
        <v/>
      </c>
      <c r="N556" s="8" t="str">
        <f>IF(J556="","",IF(SUMIFS('Facturas y gastos'!$D$10:$D$13,'Facturas y gastos'!$A$10:$A$13,A556)=0,"",J556*SUMIFS('Facturas y gastos'!$J$10:$J$13,'Facturas y gastos'!$A$10:$A$13,A556)/SUMIFS('Facturas y gastos'!$D$10:$D$13,'Facturas y gastos'!$A$10:$A$13,A556)))</f>
        <v/>
      </c>
      <c r="O556" s="8" t="str">
        <f t="shared" si="16"/>
        <v/>
      </c>
      <c r="P556" s="8" t="str">
        <f>IF(OR(O556="",'Facturas y gastos'!$B$24="",'Facturas y gastos'!$B$45&lt;&gt;"OK",SUM($O$8:$O$657)=0),"",O556*'Facturas y gastos'!$B$43/SUM($O$8:$O$657))</f>
        <v/>
      </c>
      <c r="Q556" s="8" t="str">
        <f>IF(OR(O556="",'Facturas y gastos'!$B$5="",P556=""),"",O556*'Facturas y gastos'!$B$5+P556)</f>
        <v/>
      </c>
      <c r="R556" s="8" t="str">
        <f t="shared" si="17"/>
        <v/>
      </c>
    </row>
    <row r="557" spans="1:18">
      <c r="A557" s="20"/>
      <c r="B557" s="20"/>
      <c r="C557" s="20"/>
      <c r="D557" s="20"/>
      <c r="E557" s="20"/>
      <c r="F557" s="30"/>
      <c r="G557" s="30"/>
      <c r="H557" s="21"/>
      <c r="I557" s="21"/>
      <c r="J557" s="8" t="str">
        <f>IF(OR(A557="",I557=""),"",IF(SUMIFS($I$8:$I$657,$A$8:$A$657,A557)=0,"",I557*SUMIFS('Facturas y gastos'!$D$10:$D$13,'Facturas y gastos'!$A$10:$A$13,A557)/SUMIFS($I$8:$I$657,$A$8:$A$657,A557)))</f>
        <v/>
      </c>
      <c r="K557" s="8" t="str">
        <f>IF(J557="","",IF(SUMIFS('Facturas y gastos'!$D$10:$D$13,'Facturas y gastos'!$A$10:$A$13,A557)=0,"",J557*SUMIFS('Facturas y gastos'!$G$10:$G$13,'Facturas y gastos'!$A$10:$A$13,A557)/SUMIFS('Facturas y gastos'!$D$10:$D$13,'Facturas y gastos'!$A$10:$A$13,A557)))</f>
        <v/>
      </c>
      <c r="L557" s="8" t="str">
        <f>IF(J557="","",IF(SUMIFS('Facturas y gastos'!$D$10:$D$13,'Facturas y gastos'!$A$10:$A$13,A557)=0,"",J557*SUMIFS('Facturas y gastos'!$H$10:$H$13,'Facturas y gastos'!$A$10:$A$13,A557)/SUMIFS('Facturas y gastos'!$D$10:$D$13,'Facturas y gastos'!$A$10:$A$13,A557)))</f>
        <v/>
      </c>
      <c r="M557" s="8" t="str">
        <f>IF(J557="","",IF(SUMIFS('Facturas y gastos'!$D$10:$D$13,'Facturas y gastos'!$A$10:$A$13,A557)=0,"",J557*SUMIFS('Facturas y gastos'!$I$10:$I$13,'Facturas y gastos'!$A$10:$A$13,A557)/SUMIFS('Facturas y gastos'!$D$10:$D$13,'Facturas y gastos'!$A$10:$A$13,A557)))</f>
        <v/>
      </c>
      <c r="N557" s="8" t="str">
        <f>IF(J557="","",IF(SUMIFS('Facturas y gastos'!$D$10:$D$13,'Facturas y gastos'!$A$10:$A$13,A557)=0,"",J557*SUMIFS('Facturas y gastos'!$J$10:$J$13,'Facturas y gastos'!$A$10:$A$13,A557)/SUMIFS('Facturas y gastos'!$D$10:$D$13,'Facturas y gastos'!$A$10:$A$13,A557)))</f>
        <v/>
      </c>
      <c r="O557" s="8" t="str">
        <f t="shared" si="16"/>
        <v/>
      </c>
      <c r="P557" s="8" t="str">
        <f>IF(OR(O557="",'Facturas y gastos'!$B$24="",'Facturas y gastos'!$B$45&lt;&gt;"OK",SUM($O$8:$O$657)=0),"",O557*'Facturas y gastos'!$B$43/SUM($O$8:$O$657))</f>
        <v/>
      </c>
      <c r="Q557" s="8" t="str">
        <f>IF(OR(O557="",'Facturas y gastos'!$B$5="",P557=""),"",O557*'Facturas y gastos'!$B$5+P557)</f>
        <v/>
      </c>
      <c r="R557" s="8" t="str">
        <f t="shared" si="17"/>
        <v/>
      </c>
    </row>
    <row r="558" spans="1:18">
      <c r="A558" s="20"/>
      <c r="B558" s="20"/>
      <c r="C558" s="20"/>
      <c r="D558" s="20"/>
      <c r="E558" s="20"/>
      <c r="F558" s="30"/>
      <c r="G558" s="30"/>
      <c r="H558" s="21"/>
      <c r="I558" s="21"/>
      <c r="J558" s="8" t="str">
        <f>IF(OR(A558="",I558=""),"",IF(SUMIFS($I$8:$I$657,$A$8:$A$657,A558)=0,"",I558*SUMIFS('Facturas y gastos'!$D$10:$D$13,'Facturas y gastos'!$A$10:$A$13,A558)/SUMIFS($I$8:$I$657,$A$8:$A$657,A558)))</f>
        <v/>
      </c>
      <c r="K558" s="8" t="str">
        <f>IF(J558="","",IF(SUMIFS('Facturas y gastos'!$D$10:$D$13,'Facturas y gastos'!$A$10:$A$13,A558)=0,"",J558*SUMIFS('Facturas y gastos'!$G$10:$G$13,'Facturas y gastos'!$A$10:$A$13,A558)/SUMIFS('Facturas y gastos'!$D$10:$D$13,'Facturas y gastos'!$A$10:$A$13,A558)))</f>
        <v/>
      </c>
      <c r="L558" s="8" t="str">
        <f>IF(J558="","",IF(SUMIFS('Facturas y gastos'!$D$10:$D$13,'Facturas y gastos'!$A$10:$A$13,A558)=0,"",J558*SUMIFS('Facturas y gastos'!$H$10:$H$13,'Facturas y gastos'!$A$10:$A$13,A558)/SUMIFS('Facturas y gastos'!$D$10:$D$13,'Facturas y gastos'!$A$10:$A$13,A558)))</f>
        <v/>
      </c>
      <c r="M558" s="8" t="str">
        <f>IF(J558="","",IF(SUMIFS('Facturas y gastos'!$D$10:$D$13,'Facturas y gastos'!$A$10:$A$13,A558)=0,"",J558*SUMIFS('Facturas y gastos'!$I$10:$I$13,'Facturas y gastos'!$A$10:$A$13,A558)/SUMIFS('Facturas y gastos'!$D$10:$D$13,'Facturas y gastos'!$A$10:$A$13,A558)))</f>
        <v/>
      </c>
      <c r="N558" s="8" t="str">
        <f>IF(J558="","",IF(SUMIFS('Facturas y gastos'!$D$10:$D$13,'Facturas y gastos'!$A$10:$A$13,A558)=0,"",J558*SUMIFS('Facturas y gastos'!$J$10:$J$13,'Facturas y gastos'!$A$10:$A$13,A558)/SUMIFS('Facturas y gastos'!$D$10:$D$13,'Facturas y gastos'!$A$10:$A$13,A558)))</f>
        <v/>
      </c>
      <c r="O558" s="8" t="str">
        <f t="shared" si="16"/>
        <v/>
      </c>
      <c r="P558" s="8" t="str">
        <f>IF(OR(O558="",'Facturas y gastos'!$B$24="",'Facturas y gastos'!$B$45&lt;&gt;"OK",SUM($O$8:$O$657)=0),"",O558*'Facturas y gastos'!$B$43/SUM($O$8:$O$657))</f>
        <v/>
      </c>
      <c r="Q558" s="8" t="str">
        <f>IF(OR(O558="",'Facturas y gastos'!$B$5="",P558=""),"",O558*'Facturas y gastos'!$B$5+P558)</f>
        <v/>
      </c>
      <c r="R558" s="8" t="str">
        <f t="shared" si="17"/>
        <v/>
      </c>
    </row>
    <row r="559" spans="1:18">
      <c r="A559" s="20"/>
      <c r="B559" s="20"/>
      <c r="C559" s="20"/>
      <c r="D559" s="20"/>
      <c r="E559" s="20"/>
      <c r="F559" s="30"/>
      <c r="G559" s="30"/>
      <c r="H559" s="21"/>
      <c r="I559" s="21"/>
      <c r="J559" s="8" t="str">
        <f>IF(OR(A559="",I559=""),"",IF(SUMIFS($I$8:$I$657,$A$8:$A$657,A559)=0,"",I559*SUMIFS('Facturas y gastos'!$D$10:$D$13,'Facturas y gastos'!$A$10:$A$13,A559)/SUMIFS($I$8:$I$657,$A$8:$A$657,A559)))</f>
        <v/>
      </c>
      <c r="K559" s="8" t="str">
        <f>IF(J559="","",IF(SUMIFS('Facturas y gastos'!$D$10:$D$13,'Facturas y gastos'!$A$10:$A$13,A559)=0,"",J559*SUMIFS('Facturas y gastos'!$G$10:$G$13,'Facturas y gastos'!$A$10:$A$13,A559)/SUMIFS('Facturas y gastos'!$D$10:$D$13,'Facturas y gastos'!$A$10:$A$13,A559)))</f>
        <v/>
      </c>
      <c r="L559" s="8" t="str">
        <f>IF(J559="","",IF(SUMIFS('Facturas y gastos'!$D$10:$D$13,'Facturas y gastos'!$A$10:$A$13,A559)=0,"",J559*SUMIFS('Facturas y gastos'!$H$10:$H$13,'Facturas y gastos'!$A$10:$A$13,A559)/SUMIFS('Facturas y gastos'!$D$10:$D$13,'Facturas y gastos'!$A$10:$A$13,A559)))</f>
        <v/>
      </c>
      <c r="M559" s="8" t="str">
        <f>IF(J559="","",IF(SUMIFS('Facturas y gastos'!$D$10:$D$13,'Facturas y gastos'!$A$10:$A$13,A559)=0,"",J559*SUMIFS('Facturas y gastos'!$I$10:$I$13,'Facturas y gastos'!$A$10:$A$13,A559)/SUMIFS('Facturas y gastos'!$D$10:$D$13,'Facturas y gastos'!$A$10:$A$13,A559)))</f>
        <v/>
      </c>
      <c r="N559" s="8" t="str">
        <f>IF(J559="","",IF(SUMIFS('Facturas y gastos'!$D$10:$D$13,'Facturas y gastos'!$A$10:$A$13,A559)=0,"",J559*SUMIFS('Facturas y gastos'!$J$10:$J$13,'Facturas y gastos'!$A$10:$A$13,A559)/SUMIFS('Facturas y gastos'!$D$10:$D$13,'Facturas y gastos'!$A$10:$A$13,A559)))</f>
        <v/>
      </c>
      <c r="O559" s="8" t="str">
        <f t="shared" si="16"/>
        <v/>
      </c>
      <c r="P559" s="8" t="str">
        <f>IF(OR(O559="",'Facturas y gastos'!$B$24="",'Facturas y gastos'!$B$45&lt;&gt;"OK",SUM($O$8:$O$657)=0),"",O559*'Facturas y gastos'!$B$43/SUM($O$8:$O$657))</f>
        <v/>
      </c>
      <c r="Q559" s="8" t="str">
        <f>IF(OR(O559="",'Facturas y gastos'!$B$5="",P559=""),"",O559*'Facturas y gastos'!$B$5+P559)</f>
        <v/>
      </c>
      <c r="R559" s="8" t="str">
        <f t="shared" si="17"/>
        <v/>
      </c>
    </row>
    <row r="560" spans="1:18">
      <c r="A560" s="20"/>
      <c r="B560" s="20"/>
      <c r="C560" s="20"/>
      <c r="D560" s="20"/>
      <c r="E560" s="20"/>
      <c r="F560" s="30"/>
      <c r="G560" s="30"/>
      <c r="H560" s="21"/>
      <c r="I560" s="21"/>
      <c r="J560" s="8" t="str">
        <f>IF(OR(A560="",I560=""),"",IF(SUMIFS($I$8:$I$657,$A$8:$A$657,A560)=0,"",I560*SUMIFS('Facturas y gastos'!$D$10:$D$13,'Facturas y gastos'!$A$10:$A$13,A560)/SUMIFS($I$8:$I$657,$A$8:$A$657,A560)))</f>
        <v/>
      </c>
      <c r="K560" s="8" t="str">
        <f>IF(J560="","",IF(SUMIFS('Facturas y gastos'!$D$10:$D$13,'Facturas y gastos'!$A$10:$A$13,A560)=0,"",J560*SUMIFS('Facturas y gastos'!$G$10:$G$13,'Facturas y gastos'!$A$10:$A$13,A560)/SUMIFS('Facturas y gastos'!$D$10:$D$13,'Facturas y gastos'!$A$10:$A$13,A560)))</f>
        <v/>
      </c>
      <c r="L560" s="8" t="str">
        <f>IF(J560="","",IF(SUMIFS('Facturas y gastos'!$D$10:$D$13,'Facturas y gastos'!$A$10:$A$13,A560)=0,"",J560*SUMIFS('Facturas y gastos'!$H$10:$H$13,'Facturas y gastos'!$A$10:$A$13,A560)/SUMIFS('Facturas y gastos'!$D$10:$D$13,'Facturas y gastos'!$A$10:$A$13,A560)))</f>
        <v/>
      </c>
      <c r="M560" s="8" t="str">
        <f>IF(J560="","",IF(SUMIFS('Facturas y gastos'!$D$10:$D$13,'Facturas y gastos'!$A$10:$A$13,A560)=0,"",J560*SUMIFS('Facturas y gastos'!$I$10:$I$13,'Facturas y gastos'!$A$10:$A$13,A560)/SUMIFS('Facturas y gastos'!$D$10:$D$13,'Facturas y gastos'!$A$10:$A$13,A560)))</f>
        <v/>
      </c>
      <c r="N560" s="8" t="str">
        <f>IF(J560="","",IF(SUMIFS('Facturas y gastos'!$D$10:$D$13,'Facturas y gastos'!$A$10:$A$13,A560)=0,"",J560*SUMIFS('Facturas y gastos'!$J$10:$J$13,'Facturas y gastos'!$A$10:$A$13,A560)/SUMIFS('Facturas y gastos'!$D$10:$D$13,'Facturas y gastos'!$A$10:$A$13,A560)))</f>
        <v/>
      </c>
      <c r="O560" s="8" t="str">
        <f t="shared" si="16"/>
        <v/>
      </c>
      <c r="P560" s="8" t="str">
        <f>IF(OR(O560="",'Facturas y gastos'!$B$24="",'Facturas y gastos'!$B$45&lt;&gt;"OK",SUM($O$8:$O$657)=0),"",O560*'Facturas y gastos'!$B$43/SUM($O$8:$O$657))</f>
        <v/>
      </c>
      <c r="Q560" s="8" t="str">
        <f>IF(OR(O560="",'Facturas y gastos'!$B$5="",P560=""),"",O560*'Facturas y gastos'!$B$5+P560)</f>
        <v/>
      </c>
      <c r="R560" s="8" t="str">
        <f t="shared" si="17"/>
        <v/>
      </c>
    </row>
    <row r="561" spans="1:18">
      <c r="A561" s="20"/>
      <c r="B561" s="20"/>
      <c r="C561" s="20"/>
      <c r="D561" s="20"/>
      <c r="E561" s="20"/>
      <c r="F561" s="30"/>
      <c r="G561" s="30"/>
      <c r="H561" s="21"/>
      <c r="I561" s="21"/>
      <c r="J561" s="8" t="str">
        <f>IF(OR(A561="",I561=""),"",IF(SUMIFS($I$8:$I$657,$A$8:$A$657,A561)=0,"",I561*SUMIFS('Facturas y gastos'!$D$10:$D$13,'Facturas y gastos'!$A$10:$A$13,A561)/SUMIFS($I$8:$I$657,$A$8:$A$657,A561)))</f>
        <v/>
      </c>
      <c r="K561" s="8" t="str">
        <f>IF(J561="","",IF(SUMIFS('Facturas y gastos'!$D$10:$D$13,'Facturas y gastos'!$A$10:$A$13,A561)=0,"",J561*SUMIFS('Facturas y gastos'!$G$10:$G$13,'Facturas y gastos'!$A$10:$A$13,A561)/SUMIFS('Facturas y gastos'!$D$10:$D$13,'Facturas y gastos'!$A$10:$A$13,A561)))</f>
        <v/>
      </c>
      <c r="L561" s="8" t="str">
        <f>IF(J561="","",IF(SUMIFS('Facturas y gastos'!$D$10:$D$13,'Facturas y gastos'!$A$10:$A$13,A561)=0,"",J561*SUMIFS('Facturas y gastos'!$H$10:$H$13,'Facturas y gastos'!$A$10:$A$13,A561)/SUMIFS('Facturas y gastos'!$D$10:$D$13,'Facturas y gastos'!$A$10:$A$13,A561)))</f>
        <v/>
      </c>
      <c r="M561" s="8" t="str">
        <f>IF(J561="","",IF(SUMIFS('Facturas y gastos'!$D$10:$D$13,'Facturas y gastos'!$A$10:$A$13,A561)=0,"",J561*SUMIFS('Facturas y gastos'!$I$10:$I$13,'Facturas y gastos'!$A$10:$A$13,A561)/SUMIFS('Facturas y gastos'!$D$10:$D$13,'Facturas y gastos'!$A$10:$A$13,A561)))</f>
        <v/>
      </c>
      <c r="N561" s="8" t="str">
        <f>IF(J561="","",IF(SUMIFS('Facturas y gastos'!$D$10:$D$13,'Facturas y gastos'!$A$10:$A$13,A561)=0,"",J561*SUMIFS('Facturas y gastos'!$J$10:$J$13,'Facturas y gastos'!$A$10:$A$13,A561)/SUMIFS('Facturas y gastos'!$D$10:$D$13,'Facturas y gastos'!$A$10:$A$13,A561)))</f>
        <v/>
      </c>
      <c r="O561" s="8" t="str">
        <f t="shared" si="16"/>
        <v/>
      </c>
      <c r="P561" s="8" t="str">
        <f>IF(OR(O561="",'Facturas y gastos'!$B$24="",'Facturas y gastos'!$B$45&lt;&gt;"OK",SUM($O$8:$O$657)=0),"",O561*'Facturas y gastos'!$B$43/SUM($O$8:$O$657))</f>
        <v/>
      </c>
      <c r="Q561" s="8" t="str">
        <f>IF(OR(O561="",'Facturas y gastos'!$B$5="",P561=""),"",O561*'Facturas y gastos'!$B$5+P561)</f>
        <v/>
      </c>
      <c r="R561" s="8" t="str">
        <f t="shared" si="17"/>
        <v/>
      </c>
    </row>
    <row r="562" spans="1:18">
      <c r="A562" s="20"/>
      <c r="B562" s="20"/>
      <c r="C562" s="20"/>
      <c r="D562" s="20"/>
      <c r="E562" s="20"/>
      <c r="F562" s="30"/>
      <c r="G562" s="30"/>
      <c r="H562" s="21"/>
      <c r="I562" s="21"/>
      <c r="J562" s="8" t="str">
        <f>IF(OR(A562="",I562=""),"",IF(SUMIFS($I$8:$I$657,$A$8:$A$657,A562)=0,"",I562*SUMIFS('Facturas y gastos'!$D$10:$D$13,'Facturas y gastos'!$A$10:$A$13,A562)/SUMIFS($I$8:$I$657,$A$8:$A$657,A562)))</f>
        <v/>
      </c>
      <c r="K562" s="8" t="str">
        <f>IF(J562="","",IF(SUMIFS('Facturas y gastos'!$D$10:$D$13,'Facturas y gastos'!$A$10:$A$13,A562)=0,"",J562*SUMIFS('Facturas y gastos'!$G$10:$G$13,'Facturas y gastos'!$A$10:$A$13,A562)/SUMIFS('Facturas y gastos'!$D$10:$D$13,'Facturas y gastos'!$A$10:$A$13,A562)))</f>
        <v/>
      </c>
      <c r="L562" s="8" t="str">
        <f>IF(J562="","",IF(SUMIFS('Facturas y gastos'!$D$10:$D$13,'Facturas y gastos'!$A$10:$A$13,A562)=0,"",J562*SUMIFS('Facturas y gastos'!$H$10:$H$13,'Facturas y gastos'!$A$10:$A$13,A562)/SUMIFS('Facturas y gastos'!$D$10:$D$13,'Facturas y gastos'!$A$10:$A$13,A562)))</f>
        <v/>
      </c>
      <c r="M562" s="8" t="str">
        <f>IF(J562="","",IF(SUMIFS('Facturas y gastos'!$D$10:$D$13,'Facturas y gastos'!$A$10:$A$13,A562)=0,"",J562*SUMIFS('Facturas y gastos'!$I$10:$I$13,'Facturas y gastos'!$A$10:$A$13,A562)/SUMIFS('Facturas y gastos'!$D$10:$D$13,'Facturas y gastos'!$A$10:$A$13,A562)))</f>
        <v/>
      </c>
      <c r="N562" s="8" t="str">
        <f>IF(J562="","",IF(SUMIFS('Facturas y gastos'!$D$10:$D$13,'Facturas y gastos'!$A$10:$A$13,A562)=0,"",J562*SUMIFS('Facturas y gastos'!$J$10:$J$13,'Facturas y gastos'!$A$10:$A$13,A562)/SUMIFS('Facturas y gastos'!$D$10:$D$13,'Facturas y gastos'!$A$10:$A$13,A562)))</f>
        <v/>
      </c>
      <c r="O562" s="8" t="str">
        <f t="shared" si="16"/>
        <v/>
      </c>
      <c r="P562" s="8" t="str">
        <f>IF(OR(O562="",'Facturas y gastos'!$B$24="",'Facturas y gastos'!$B$45&lt;&gt;"OK",SUM($O$8:$O$657)=0),"",O562*'Facturas y gastos'!$B$43/SUM($O$8:$O$657))</f>
        <v/>
      </c>
      <c r="Q562" s="8" t="str">
        <f>IF(OR(O562="",'Facturas y gastos'!$B$5="",P562=""),"",O562*'Facturas y gastos'!$B$5+P562)</f>
        <v/>
      </c>
      <c r="R562" s="8" t="str">
        <f t="shared" si="17"/>
        <v/>
      </c>
    </row>
    <row r="563" spans="1:18">
      <c r="A563" s="20"/>
      <c r="B563" s="20"/>
      <c r="C563" s="20"/>
      <c r="D563" s="20"/>
      <c r="E563" s="20"/>
      <c r="F563" s="30"/>
      <c r="G563" s="30"/>
      <c r="H563" s="21"/>
      <c r="I563" s="21"/>
      <c r="J563" s="8" t="str">
        <f>IF(OR(A563="",I563=""),"",IF(SUMIFS($I$8:$I$657,$A$8:$A$657,A563)=0,"",I563*SUMIFS('Facturas y gastos'!$D$10:$D$13,'Facturas y gastos'!$A$10:$A$13,A563)/SUMIFS($I$8:$I$657,$A$8:$A$657,A563)))</f>
        <v/>
      </c>
      <c r="K563" s="8" t="str">
        <f>IF(J563="","",IF(SUMIFS('Facturas y gastos'!$D$10:$D$13,'Facturas y gastos'!$A$10:$A$13,A563)=0,"",J563*SUMIFS('Facturas y gastos'!$G$10:$G$13,'Facturas y gastos'!$A$10:$A$13,A563)/SUMIFS('Facturas y gastos'!$D$10:$D$13,'Facturas y gastos'!$A$10:$A$13,A563)))</f>
        <v/>
      </c>
      <c r="L563" s="8" t="str">
        <f>IF(J563="","",IF(SUMIFS('Facturas y gastos'!$D$10:$D$13,'Facturas y gastos'!$A$10:$A$13,A563)=0,"",J563*SUMIFS('Facturas y gastos'!$H$10:$H$13,'Facturas y gastos'!$A$10:$A$13,A563)/SUMIFS('Facturas y gastos'!$D$10:$D$13,'Facturas y gastos'!$A$10:$A$13,A563)))</f>
        <v/>
      </c>
      <c r="M563" s="8" t="str">
        <f>IF(J563="","",IF(SUMIFS('Facturas y gastos'!$D$10:$D$13,'Facturas y gastos'!$A$10:$A$13,A563)=0,"",J563*SUMIFS('Facturas y gastos'!$I$10:$I$13,'Facturas y gastos'!$A$10:$A$13,A563)/SUMIFS('Facturas y gastos'!$D$10:$D$13,'Facturas y gastos'!$A$10:$A$13,A563)))</f>
        <v/>
      </c>
      <c r="N563" s="8" t="str">
        <f>IF(J563="","",IF(SUMIFS('Facturas y gastos'!$D$10:$D$13,'Facturas y gastos'!$A$10:$A$13,A563)=0,"",J563*SUMIFS('Facturas y gastos'!$J$10:$J$13,'Facturas y gastos'!$A$10:$A$13,A563)/SUMIFS('Facturas y gastos'!$D$10:$D$13,'Facturas y gastos'!$A$10:$A$13,A563)))</f>
        <v/>
      </c>
      <c r="O563" s="8" t="str">
        <f t="shared" si="16"/>
        <v/>
      </c>
      <c r="P563" s="8" t="str">
        <f>IF(OR(O563="",'Facturas y gastos'!$B$24="",'Facturas y gastos'!$B$45&lt;&gt;"OK",SUM($O$8:$O$657)=0),"",O563*'Facturas y gastos'!$B$43/SUM($O$8:$O$657))</f>
        <v/>
      </c>
      <c r="Q563" s="8" t="str">
        <f>IF(OR(O563="",'Facturas y gastos'!$B$5="",P563=""),"",O563*'Facturas y gastos'!$B$5+P563)</f>
        <v/>
      </c>
      <c r="R563" s="8" t="str">
        <f t="shared" si="17"/>
        <v/>
      </c>
    </row>
    <row r="564" spans="1:18">
      <c r="A564" s="20"/>
      <c r="B564" s="20"/>
      <c r="C564" s="20"/>
      <c r="D564" s="20"/>
      <c r="E564" s="20"/>
      <c r="F564" s="30"/>
      <c r="G564" s="30"/>
      <c r="H564" s="21"/>
      <c r="I564" s="21"/>
      <c r="J564" s="8" t="str">
        <f>IF(OR(A564="",I564=""),"",IF(SUMIFS($I$8:$I$657,$A$8:$A$657,A564)=0,"",I564*SUMIFS('Facturas y gastos'!$D$10:$D$13,'Facturas y gastos'!$A$10:$A$13,A564)/SUMIFS($I$8:$I$657,$A$8:$A$657,A564)))</f>
        <v/>
      </c>
      <c r="K564" s="8" t="str">
        <f>IF(J564="","",IF(SUMIFS('Facturas y gastos'!$D$10:$D$13,'Facturas y gastos'!$A$10:$A$13,A564)=0,"",J564*SUMIFS('Facturas y gastos'!$G$10:$G$13,'Facturas y gastos'!$A$10:$A$13,A564)/SUMIFS('Facturas y gastos'!$D$10:$D$13,'Facturas y gastos'!$A$10:$A$13,A564)))</f>
        <v/>
      </c>
      <c r="L564" s="8" t="str">
        <f>IF(J564="","",IF(SUMIFS('Facturas y gastos'!$D$10:$D$13,'Facturas y gastos'!$A$10:$A$13,A564)=0,"",J564*SUMIFS('Facturas y gastos'!$H$10:$H$13,'Facturas y gastos'!$A$10:$A$13,A564)/SUMIFS('Facturas y gastos'!$D$10:$D$13,'Facturas y gastos'!$A$10:$A$13,A564)))</f>
        <v/>
      </c>
      <c r="M564" s="8" t="str">
        <f>IF(J564="","",IF(SUMIFS('Facturas y gastos'!$D$10:$D$13,'Facturas y gastos'!$A$10:$A$13,A564)=0,"",J564*SUMIFS('Facturas y gastos'!$I$10:$I$13,'Facturas y gastos'!$A$10:$A$13,A564)/SUMIFS('Facturas y gastos'!$D$10:$D$13,'Facturas y gastos'!$A$10:$A$13,A564)))</f>
        <v/>
      </c>
      <c r="N564" s="8" t="str">
        <f>IF(J564="","",IF(SUMIFS('Facturas y gastos'!$D$10:$D$13,'Facturas y gastos'!$A$10:$A$13,A564)=0,"",J564*SUMIFS('Facturas y gastos'!$J$10:$J$13,'Facturas y gastos'!$A$10:$A$13,A564)/SUMIFS('Facturas y gastos'!$D$10:$D$13,'Facturas y gastos'!$A$10:$A$13,A564)))</f>
        <v/>
      </c>
      <c r="O564" s="8" t="str">
        <f t="shared" si="16"/>
        <v/>
      </c>
      <c r="P564" s="8" t="str">
        <f>IF(OR(O564="",'Facturas y gastos'!$B$24="",'Facturas y gastos'!$B$45&lt;&gt;"OK",SUM($O$8:$O$657)=0),"",O564*'Facturas y gastos'!$B$43/SUM($O$8:$O$657))</f>
        <v/>
      </c>
      <c r="Q564" s="8" t="str">
        <f>IF(OR(O564="",'Facturas y gastos'!$B$5="",P564=""),"",O564*'Facturas y gastos'!$B$5+P564)</f>
        <v/>
      </c>
      <c r="R564" s="8" t="str">
        <f t="shared" si="17"/>
        <v/>
      </c>
    </row>
    <row r="565" spans="1:18">
      <c r="A565" s="20"/>
      <c r="B565" s="20"/>
      <c r="C565" s="20"/>
      <c r="D565" s="20"/>
      <c r="E565" s="20"/>
      <c r="F565" s="30"/>
      <c r="G565" s="30"/>
      <c r="H565" s="21"/>
      <c r="I565" s="21"/>
      <c r="J565" s="8" t="str">
        <f>IF(OR(A565="",I565=""),"",IF(SUMIFS($I$8:$I$657,$A$8:$A$657,A565)=0,"",I565*SUMIFS('Facturas y gastos'!$D$10:$D$13,'Facturas y gastos'!$A$10:$A$13,A565)/SUMIFS($I$8:$I$657,$A$8:$A$657,A565)))</f>
        <v/>
      </c>
      <c r="K565" s="8" t="str">
        <f>IF(J565="","",IF(SUMIFS('Facturas y gastos'!$D$10:$D$13,'Facturas y gastos'!$A$10:$A$13,A565)=0,"",J565*SUMIFS('Facturas y gastos'!$G$10:$G$13,'Facturas y gastos'!$A$10:$A$13,A565)/SUMIFS('Facturas y gastos'!$D$10:$D$13,'Facturas y gastos'!$A$10:$A$13,A565)))</f>
        <v/>
      </c>
      <c r="L565" s="8" t="str">
        <f>IF(J565="","",IF(SUMIFS('Facturas y gastos'!$D$10:$D$13,'Facturas y gastos'!$A$10:$A$13,A565)=0,"",J565*SUMIFS('Facturas y gastos'!$H$10:$H$13,'Facturas y gastos'!$A$10:$A$13,A565)/SUMIFS('Facturas y gastos'!$D$10:$D$13,'Facturas y gastos'!$A$10:$A$13,A565)))</f>
        <v/>
      </c>
      <c r="M565" s="8" t="str">
        <f>IF(J565="","",IF(SUMIFS('Facturas y gastos'!$D$10:$D$13,'Facturas y gastos'!$A$10:$A$13,A565)=0,"",J565*SUMIFS('Facturas y gastos'!$I$10:$I$13,'Facturas y gastos'!$A$10:$A$13,A565)/SUMIFS('Facturas y gastos'!$D$10:$D$13,'Facturas y gastos'!$A$10:$A$13,A565)))</f>
        <v/>
      </c>
      <c r="N565" s="8" t="str">
        <f>IF(J565="","",IF(SUMIFS('Facturas y gastos'!$D$10:$D$13,'Facturas y gastos'!$A$10:$A$13,A565)=0,"",J565*SUMIFS('Facturas y gastos'!$J$10:$J$13,'Facturas y gastos'!$A$10:$A$13,A565)/SUMIFS('Facturas y gastos'!$D$10:$D$13,'Facturas y gastos'!$A$10:$A$13,A565)))</f>
        <v/>
      </c>
      <c r="O565" s="8" t="str">
        <f t="shared" si="16"/>
        <v/>
      </c>
      <c r="P565" s="8" t="str">
        <f>IF(OR(O565="",'Facturas y gastos'!$B$24="",'Facturas y gastos'!$B$45&lt;&gt;"OK",SUM($O$8:$O$657)=0),"",O565*'Facturas y gastos'!$B$43/SUM($O$8:$O$657))</f>
        <v/>
      </c>
      <c r="Q565" s="8" t="str">
        <f>IF(OR(O565="",'Facturas y gastos'!$B$5="",P565=""),"",O565*'Facturas y gastos'!$B$5+P565)</f>
        <v/>
      </c>
      <c r="R565" s="8" t="str">
        <f t="shared" si="17"/>
        <v/>
      </c>
    </row>
    <row r="566" spans="1:18">
      <c r="A566" s="20"/>
      <c r="B566" s="20"/>
      <c r="C566" s="20"/>
      <c r="D566" s="20"/>
      <c r="E566" s="20"/>
      <c r="F566" s="30"/>
      <c r="G566" s="30"/>
      <c r="H566" s="21"/>
      <c r="I566" s="21"/>
      <c r="J566" s="8" t="str">
        <f>IF(OR(A566="",I566=""),"",IF(SUMIFS($I$8:$I$657,$A$8:$A$657,A566)=0,"",I566*SUMIFS('Facturas y gastos'!$D$10:$D$13,'Facturas y gastos'!$A$10:$A$13,A566)/SUMIFS($I$8:$I$657,$A$8:$A$657,A566)))</f>
        <v/>
      </c>
      <c r="K566" s="8" t="str">
        <f>IF(J566="","",IF(SUMIFS('Facturas y gastos'!$D$10:$D$13,'Facturas y gastos'!$A$10:$A$13,A566)=0,"",J566*SUMIFS('Facturas y gastos'!$G$10:$G$13,'Facturas y gastos'!$A$10:$A$13,A566)/SUMIFS('Facturas y gastos'!$D$10:$D$13,'Facturas y gastos'!$A$10:$A$13,A566)))</f>
        <v/>
      </c>
      <c r="L566" s="8" t="str">
        <f>IF(J566="","",IF(SUMIFS('Facturas y gastos'!$D$10:$D$13,'Facturas y gastos'!$A$10:$A$13,A566)=0,"",J566*SUMIFS('Facturas y gastos'!$H$10:$H$13,'Facturas y gastos'!$A$10:$A$13,A566)/SUMIFS('Facturas y gastos'!$D$10:$D$13,'Facturas y gastos'!$A$10:$A$13,A566)))</f>
        <v/>
      </c>
      <c r="M566" s="8" t="str">
        <f>IF(J566="","",IF(SUMIFS('Facturas y gastos'!$D$10:$D$13,'Facturas y gastos'!$A$10:$A$13,A566)=0,"",J566*SUMIFS('Facturas y gastos'!$I$10:$I$13,'Facturas y gastos'!$A$10:$A$13,A566)/SUMIFS('Facturas y gastos'!$D$10:$D$13,'Facturas y gastos'!$A$10:$A$13,A566)))</f>
        <v/>
      </c>
      <c r="N566" s="8" t="str">
        <f>IF(J566="","",IF(SUMIFS('Facturas y gastos'!$D$10:$D$13,'Facturas y gastos'!$A$10:$A$13,A566)=0,"",J566*SUMIFS('Facturas y gastos'!$J$10:$J$13,'Facturas y gastos'!$A$10:$A$13,A566)/SUMIFS('Facturas y gastos'!$D$10:$D$13,'Facturas y gastos'!$A$10:$A$13,A566)))</f>
        <v/>
      </c>
      <c r="O566" s="8" t="str">
        <f t="shared" si="16"/>
        <v/>
      </c>
      <c r="P566" s="8" t="str">
        <f>IF(OR(O566="",'Facturas y gastos'!$B$24="",'Facturas y gastos'!$B$45&lt;&gt;"OK",SUM($O$8:$O$657)=0),"",O566*'Facturas y gastos'!$B$43/SUM($O$8:$O$657))</f>
        <v/>
      </c>
      <c r="Q566" s="8" t="str">
        <f>IF(OR(O566="",'Facturas y gastos'!$B$5="",P566=""),"",O566*'Facturas y gastos'!$B$5+P566)</f>
        <v/>
      </c>
      <c r="R566" s="8" t="str">
        <f t="shared" si="17"/>
        <v/>
      </c>
    </row>
    <row r="567" spans="1:18">
      <c r="A567" s="20"/>
      <c r="B567" s="20"/>
      <c r="C567" s="20"/>
      <c r="D567" s="20"/>
      <c r="E567" s="20"/>
      <c r="F567" s="30"/>
      <c r="G567" s="30"/>
      <c r="H567" s="21"/>
      <c r="I567" s="21"/>
      <c r="J567" s="8" t="str">
        <f>IF(OR(A567="",I567=""),"",IF(SUMIFS($I$8:$I$657,$A$8:$A$657,A567)=0,"",I567*SUMIFS('Facturas y gastos'!$D$10:$D$13,'Facturas y gastos'!$A$10:$A$13,A567)/SUMIFS($I$8:$I$657,$A$8:$A$657,A567)))</f>
        <v/>
      </c>
      <c r="K567" s="8" t="str">
        <f>IF(J567="","",IF(SUMIFS('Facturas y gastos'!$D$10:$D$13,'Facturas y gastos'!$A$10:$A$13,A567)=0,"",J567*SUMIFS('Facturas y gastos'!$G$10:$G$13,'Facturas y gastos'!$A$10:$A$13,A567)/SUMIFS('Facturas y gastos'!$D$10:$D$13,'Facturas y gastos'!$A$10:$A$13,A567)))</f>
        <v/>
      </c>
      <c r="L567" s="8" t="str">
        <f>IF(J567="","",IF(SUMIFS('Facturas y gastos'!$D$10:$D$13,'Facturas y gastos'!$A$10:$A$13,A567)=0,"",J567*SUMIFS('Facturas y gastos'!$H$10:$H$13,'Facturas y gastos'!$A$10:$A$13,A567)/SUMIFS('Facturas y gastos'!$D$10:$D$13,'Facturas y gastos'!$A$10:$A$13,A567)))</f>
        <v/>
      </c>
      <c r="M567" s="8" t="str">
        <f>IF(J567="","",IF(SUMIFS('Facturas y gastos'!$D$10:$D$13,'Facturas y gastos'!$A$10:$A$13,A567)=0,"",J567*SUMIFS('Facturas y gastos'!$I$10:$I$13,'Facturas y gastos'!$A$10:$A$13,A567)/SUMIFS('Facturas y gastos'!$D$10:$D$13,'Facturas y gastos'!$A$10:$A$13,A567)))</f>
        <v/>
      </c>
      <c r="N567" s="8" t="str">
        <f>IF(J567="","",IF(SUMIFS('Facturas y gastos'!$D$10:$D$13,'Facturas y gastos'!$A$10:$A$13,A567)=0,"",J567*SUMIFS('Facturas y gastos'!$J$10:$J$13,'Facturas y gastos'!$A$10:$A$13,A567)/SUMIFS('Facturas y gastos'!$D$10:$D$13,'Facturas y gastos'!$A$10:$A$13,A567)))</f>
        <v/>
      </c>
      <c r="O567" s="8" t="str">
        <f t="shared" si="16"/>
        <v/>
      </c>
      <c r="P567" s="8" t="str">
        <f>IF(OR(O567="",'Facturas y gastos'!$B$24="",'Facturas y gastos'!$B$45&lt;&gt;"OK",SUM($O$8:$O$657)=0),"",O567*'Facturas y gastos'!$B$43/SUM($O$8:$O$657))</f>
        <v/>
      </c>
      <c r="Q567" s="8" t="str">
        <f>IF(OR(O567="",'Facturas y gastos'!$B$5="",P567=""),"",O567*'Facturas y gastos'!$B$5+P567)</f>
        <v/>
      </c>
      <c r="R567" s="8" t="str">
        <f t="shared" si="17"/>
        <v/>
      </c>
    </row>
    <row r="568" spans="1:18">
      <c r="A568" s="20"/>
      <c r="B568" s="20"/>
      <c r="C568" s="20"/>
      <c r="D568" s="20"/>
      <c r="E568" s="20"/>
      <c r="F568" s="30"/>
      <c r="G568" s="30"/>
      <c r="H568" s="21"/>
      <c r="I568" s="21"/>
      <c r="J568" s="8" t="str">
        <f>IF(OR(A568="",I568=""),"",IF(SUMIFS($I$8:$I$657,$A$8:$A$657,A568)=0,"",I568*SUMIFS('Facturas y gastos'!$D$10:$D$13,'Facturas y gastos'!$A$10:$A$13,A568)/SUMIFS($I$8:$I$657,$A$8:$A$657,A568)))</f>
        <v/>
      </c>
      <c r="K568" s="8" t="str">
        <f>IF(J568="","",IF(SUMIFS('Facturas y gastos'!$D$10:$D$13,'Facturas y gastos'!$A$10:$A$13,A568)=0,"",J568*SUMIFS('Facturas y gastos'!$G$10:$G$13,'Facturas y gastos'!$A$10:$A$13,A568)/SUMIFS('Facturas y gastos'!$D$10:$D$13,'Facturas y gastos'!$A$10:$A$13,A568)))</f>
        <v/>
      </c>
      <c r="L568" s="8" t="str">
        <f>IF(J568="","",IF(SUMIFS('Facturas y gastos'!$D$10:$D$13,'Facturas y gastos'!$A$10:$A$13,A568)=0,"",J568*SUMIFS('Facturas y gastos'!$H$10:$H$13,'Facturas y gastos'!$A$10:$A$13,A568)/SUMIFS('Facturas y gastos'!$D$10:$D$13,'Facturas y gastos'!$A$10:$A$13,A568)))</f>
        <v/>
      </c>
      <c r="M568" s="8" t="str">
        <f>IF(J568="","",IF(SUMIFS('Facturas y gastos'!$D$10:$D$13,'Facturas y gastos'!$A$10:$A$13,A568)=0,"",J568*SUMIFS('Facturas y gastos'!$I$10:$I$13,'Facturas y gastos'!$A$10:$A$13,A568)/SUMIFS('Facturas y gastos'!$D$10:$D$13,'Facturas y gastos'!$A$10:$A$13,A568)))</f>
        <v/>
      </c>
      <c r="N568" s="8" t="str">
        <f>IF(J568="","",IF(SUMIFS('Facturas y gastos'!$D$10:$D$13,'Facturas y gastos'!$A$10:$A$13,A568)=0,"",J568*SUMIFS('Facturas y gastos'!$J$10:$J$13,'Facturas y gastos'!$A$10:$A$13,A568)/SUMIFS('Facturas y gastos'!$D$10:$D$13,'Facturas y gastos'!$A$10:$A$13,A568)))</f>
        <v/>
      </c>
      <c r="O568" s="8" t="str">
        <f t="shared" si="16"/>
        <v/>
      </c>
      <c r="P568" s="8" t="str">
        <f>IF(OR(O568="",'Facturas y gastos'!$B$24="",'Facturas y gastos'!$B$45&lt;&gt;"OK",SUM($O$8:$O$657)=0),"",O568*'Facturas y gastos'!$B$43/SUM($O$8:$O$657))</f>
        <v/>
      </c>
      <c r="Q568" s="8" t="str">
        <f>IF(OR(O568="",'Facturas y gastos'!$B$5="",P568=""),"",O568*'Facturas y gastos'!$B$5+P568)</f>
        <v/>
      </c>
      <c r="R568" s="8" t="str">
        <f t="shared" si="17"/>
        <v/>
      </c>
    </row>
    <row r="569" spans="1:18">
      <c r="A569" s="20"/>
      <c r="B569" s="20"/>
      <c r="C569" s="20"/>
      <c r="D569" s="20"/>
      <c r="E569" s="20"/>
      <c r="F569" s="30"/>
      <c r="G569" s="30"/>
      <c r="H569" s="21"/>
      <c r="I569" s="21"/>
      <c r="J569" s="8" t="str">
        <f>IF(OR(A569="",I569=""),"",IF(SUMIFS($I$8:$I$657,$A$8:$A$657,A569)=0,"",I569*SUMIFS('Facturas y gastos'!$D$10:$D$13,'Facturas y gastos'!$A$10:$A$13,A569)/SUMIFS($I$8:$I$657,$A$8:$A$657,A569)))</f>
        <v/>
      </c>
      <c r="K569" s="8" t="str">
        <f>IF(J569="","",IF(SUMIFS('Facturas y gastos'!$D$10:$D$13,'Facturas y gastos'!$A$10:$A$13,A569)=0,"",J569*SUMIFS('Facturas y gastos'!$G$10:$G$13,'Facturas y gastos'!$A$10:$A$13,A569)/SUMIFS('Facturas y gastos'!$D$10:$D$13,'Facturas y gastos'!$A$10:$A$13,A569)))</f>
        <v/>
      </c>
      <c r="L569" s="8" t="str">
        <f>IF(J569="","",IF(SUMIFS('Facturas y gastos'!$D$10:$D$13,'Facturas y gastos'!$A$10:$A$13,A569)=0,"",J569*SUMIFS('Facturas y gastos'!$H$10:$H$13,'Facturas y gastos'!$A$10:$A$13,A569)/SUMIFS('Facturas y gastos'!$D$10:$D$13,'Facturas y gastos'!$A$10:$A$13,A569)))</f>
        <v/>
      </c>
      <c r="M569" s="8" t="str">
        <f>IF(J569="","",IF(SUMIFS('Facturas y gastos'!$D$10:$D$13,'Facturas y gastos'!$A$10:$A$13,A569)=0,"",J569*SUMIFS('Facturas y gastos'!$I$10:$I$13,'Facturas y gastos'!$A$10:$A$13,A569)/SUMIFS('Facturas y gastos'!$D$10:$D$13,'Facturas y gastos'!$A$10:$A$13,A569)))</f>
        <v/>
      </c>
      <c r="N569" s="8" t="str">
        <f>IF(J569="","",IF(SUMIFS('Facturas y gastos'!$D$10:$D$13,'Facturas y gastos'!$A$10:$A$13,A569)=0,"",J569*SUMIFS('Facturas y gastos'!$J$10:$J$13,'Facturas y gastos'!$A$10:$A$13,A569)/SUMIFS('Facturas y gastos'!$D$10:$D$13,'Facturas y gastos'!$A$10:$A$13,A569)))</f>
        <v/>
      </c>
      <c r="O569" s="8" t="str">
        <f t="shared" si="16"/>
        <v/>
      </c>
      <c r="P569" s="8" t="str">
        <f>IF(OR(O569="",'Facturas y gastos'!$B$24="",'Facturas y gastos'!$B$45&lt;&gt;"OK",SUM($O$8:$O$657)=0),"",O569*'Facturas y gastos'!$B$43/SUM($O$8:$O$657))</f>
        <v/>
      </c>
      <c r="Q569" s="8" t="str">
        <f>IF(OR(O569="",'Facturas y gastos'!$B$5="",P569=""),"",O569*'Facturas y gastos'!$B$5+P569)</f>
        <v/>
      </c>
      <c r="R569" s="8" t="str">
        <f t="shared" si="17"/>
        <v/>
      </c>
    </row>
    <row r="570" spans="1:18">
      <c r="A570" s="20"/>
      <c r="B570" s="20"/>
      <c r="C570" s="20"/>
      <c r="D570" s="20"/>
      <c r="E570" s="20"/>
      <c r="F570" s="30"/>
      <c r="G570" s="30"/>
      <c r="H570" s="21"/>
      <c r="I570" s="21"/>
      <c r="J570" s="8" t="str">
        <f>IF(OR(A570="",I570=""),"",IF(SUMIFS($I$8:$I$657,$A$8:$A$657,A570)=0,"",I570*SUMIFS('Facturas y gastos'!$D$10:$D$13,'Facturas y gastos'!$A$10:$A$13,A570)/SUMIFS($I$8:$I$657,$A$8:$A$657,A570)))</f>
        <v/>
      </c>
      <c r="K570" s="8" t="str">
        <f>IF(J570="","",IF(SUMIFS('Facturas y gastos'!$D$10:$D$13,'Facturas y gastos'!$A$10:$A$13,A570)=0,"",J570*SUMIFS('Facturas y gastos'!$G$10:$G$13,'Facturas y gastos'!$A$10:$A$13,A570)/SUMIFS('Facturas y gastos'!$D$10:$D$13,'Facturas y gastos'!$A$10:$A$13,A570)))</f>
        <v/>
      </c>
      <c r="L570" s="8" t="str">
        <f>IF(J570="","",IF(SUMIFS('Facturas y gastos'!$D$10:$D$13,'Facturas y gastos'!$A$10:$A$13,A570)=0,"",J570*SUMIFS('Facturas y gastos'!$H$10:$H$13,'Facturas y gastos'!$A$10:$A$13,A570)/SUMIFS('Facturas y gastos'!$D$10:$D$13,'Facturas y gastos'!$A$10:$A$13,A570)))</f>
        <v/>
      </c>
      <c r="M570" s="8" t="str">
        <f>IF(J570="","",IF(SUMIFS('Facturas y gastos'!$D$10:$D$13,'Facturas y gastos'!$A$10:$A$13,A570)=0,"",J570*SUMIFS('Facturas y gastos'!$I$10:$I$13,'Facturas y gastos'!$A$10:$A$13,A570)/SUMIFS('Facturas y gastos'!$D$10:$D$13,'Facturas y gastos'!$A$10:$A$13,A570)))</f>
        <v/>
      </c>
      <c r="N570" s="8" t="str">
        <f>IF(J570="","",IF(SUMIFS('Facturas y gastos'!$D$10:$D$13,'Facturas y gastos'!$A$10:$A$13,A570)=0,"",J570*SUMIFS('Facturas y gastos'!$J$10:$J$13,'Facturas y gastos'!$A$10:$A$13,A570)/SUMIFS('Facturas y gastos'!$D$10:$D$13,'Facturas y gastos'!$A$10:$A$13,A570)))</f>
        <v/>
      </c>
      <c r="O570" s="8" t="str">
        <f t="shared" si="16"/>
        <v/>
      </c>
      <c r="P570" s="8" t="str">
        <f>IF(OR(O570="",'Facturas y gastos'!$B$24="",'Facturas y gastos'!$B$45&lt;&gt;"OK",SUM($O$8:$O$657)=0),"",O570*'Facturas y gastos'!$B$43/SUM($O$8:$O$657))</f>
        <v/>
      </c>
      <c r="Q570" s="8" t="str">
        <f>IF(OR(O570="",'Facturas y gastos'!$B$5="",P570=""),"",O570*'Facturas y gastos'!$B$5+P570)</f>
        <v/>
      </c>
      <c r="R570" s="8" t="str">
        <f t="shared" si="17"/>
        <v/>
      </c>
    </row>
    <row r="571" spans="1:18">
      <c r="A571" s="20"/>
      <c r="B571" s="20"/>
      <c r="C571" s="20"/>
      <c r="D571" s="20"/>
      <c r="E571" s="20"/>
      <c r="F571" s="30"/>
      <c r="G571" s="30"/>
      <c r="H571" s="21"/>
      <c r="I571" s="21"/>
      <c r="J571" s="8" t="str">
        <f>IF(OR(A571="",I571=""),"",IF(SUMIFS($I$8:$I$657,$A$8:$A$657,A571)=0,"",I571*SUMIFS('Facturas y gastos'!$D$10:$D$13,'Facturas y gastos'!$A$10:$A$13,A571)/SUMIFS($I$8:$I$657,$A$8:$A$657,A571)))</f>
        <v/>
      </c>
      <c r="K571" s="8" t="str">
        <f>IF(J571="","",IF(SUMIFS('Facturas y gastos'!$D$10:$D$13,'Facturas y gastos'!$A$10:$A$13,A571)=0,"",J571*SUMIFS('Facturas y gastos'!$G$10:$G$13,'Facturas y gastos'!$A$10:$A$13,A571)/SUMIFS('Facturas y gastos'!$D$10:$D$13,'Facturas y gastos'!$A$10:$A$13,A571)))</f>
        <v/>
      </c>
      <c r="L571" s="8" t="str">
        <f>IF(J571="","",IF(SUMIFS('Facturas y gastos'!$D$10:$D$13,'Facturas y gastos'!$A$10:$A$13,A571)=0,"",J571*SUMIFS('Facturas y gastos'!$H$10:$H$13,'Facturas y gastos'!$A$10:$A$13,A571)/SUMIFS('Facturas y gastos'!$D$10:$D$13,'Facturas y gastos'!$A$10:$A$13,A571)))</f>
        <v/>
      </c>
      <c r="M571" s="8" t="str">
        <f>IF(J571="","",IF(SUMIFS('Facturas y gastos'!$D$10:$D$13,'Facturas y gastos'!$A$10:$A$13,A571)=0,"",J571*SUMIFS('Facturas y gastos'!$I$10:$I$13,'Facturas y gastos'!$A$10:$A$13,A571)/SUMIFS('Facturas y gastos'!$D$10:$D$13,'Facturas y gastos'!$A$10:$A$13,A571)))</f>
        <v/>
      </c>
      <c r="N571" s="8" t="str">
        <f>IF(J571="","",IF(SUMIFS('Facturas y gastos'!$D$10:$D$13,'Facturas y gastos'!$A$10:$A$13,A571)=0,"",J571*SUMIFS('Facturas y gastos'!$J$10:$J$13,'Facturas y gastos'!$A$10:$A$13,A571)/SUMIFS('Facturas y gastos'!$D$10:$D$13,'Facturas y gastos'!$A$10:$A$13,A571)))</f>
        <v/>
      </c>
      <c r="O571" s="8" t="str">
        <f t="shared" si="16"/>
        <v/>
      </c>
      <c r="P571" s="8" t="str">
        <f>IF(OR(O571="",'Facturas y gastos'!$B$24="",'Facturas y gastos'!$B$45&lt;&gt;"OK",SUM($O$8:$O$657)=0),"",O571*'Facturas y gastos'!$B$43/SUM($O$8:$O$657))</f>
        <v/>
      </c>
      <c r="Q571" s="8" t="str">
        <f>IF(OR(O571="",'Facturas y gastos'!$B$5="",P571=""),"",O571*'Facturas y gastos'!$B$5+P571)</f>
        <v/>
      </c>
      <c r="R571" s="8" t="str">
        <f t="shared" si="17"/>
        <v/>
      </c>
    </row>
    <row r="572" spans="1:18">
      <c r="A572" s="20"/>
      <c r="B572" s="20"/>
      <c r="C572" s="20"/>
      <c r="D572" s="20"/>
      <c r="E572" s="20"/>
      <c r="F572" s="30"/>
      <c r="G572" s="30"/>
      <c r="H572" s="21"/>
      <c r="I572" s="21"/>
      <c r="J572" s="8" t="str">
        <f>IF(OR(A572="",I572=""),"",IF(SUMIFS($I$8:$I$657,$A$8:$A$657,A572)=0,"",I572*SUMIFS('Facturas y gastos'!$D$10:$D$13,'Facturas y gastos'!$A$10:$A$13,A572)/SUMIFS($I$8:$I$657,$A$8:$A$657,A572)))</f>
        <v/>
      </c>
      <c r="K572" s="8" t="str">
        <f>IF(J572="","",IF(SUMIFS('Facturas y gastos'!$D$10:$D$13,'Facturas y gastos'!$A$10:$A$13,A572)=0,"",J572*SUMIFS('Facturas y gastos'!$G$10:$G$13,'Facturas y gastos'!$A$10:$A$13,A572)/SUMIFS('Facturas y gastos'!$D$10:$D$13,'Facturas y gastos'!$A$10:$A$13,A572)))</f>
        <v/>
      </c>
      <c r="L572" s="8" t="str">
        <f>IF(J572="","",IF(SUMIFS('Facturas y gastos'!$D$10:$D$13,'Facturas y gastos'!$A$10:$A$13,A572)=0,"",J572*SUMIFS('Facturas y gastos'!$H$10:$H$13,'Facturas y gastos'!$A$10:$A$13,A572)/SUMIFS('Facturas y gastos'!$D$10:$D$13,'Facturas y gastos'!$A$10:$A$13,A572)))</f>
        <v/>
      </c>
      <c r="M572" s="8" t="str">
        <f>IF(J572="","",IF(SUMIFS('Facturas y gastos'!$D$10:$D$13,'Facturas y gastos'!$A$10:$A$13,A572)=0,"",J572*SUMIFS('Facturas y gastos'!$I$10:$I$13,'Facturas y gastos'!$A$10:$A$13,A572)/SUMIFS('Facturas y gastos'!$D$10:$D$13,'Facturas y gastos'!$A$10:$A$13,A572)))</f>
        <v/>
      </c>
      <c r="N572" s="8" t="str">
        <f>IF(J572="","",IF(SUMIFS('Facturas y gastos'!$D$10:$D$13,'Facturas y gastos'!$A$10:$A$13,A572)=0,"",J572*SUMIFS('Facturas y gastos'!$J$10:$J$13,'Facturas y gastos'!$A$10:$A$13,A572)/SUMIFS('Facturas y gastos'!$D$10:$D$13,'Facturas y gastos'!$A$10:$A$13,A572)))</f>
        <v/>
      </c>
      <c r="O572" s="8" t="str">
        <f t="shared" si="16"/>
        <v/>
      </c>
      <c r="P572" s="8" t="str">
        <f>IF(OR(O572="",'Facturas y gastos'!$B$24="",'Facturas y gastos'!$B$45&lt;&gt;"OK",SUM($O$8:$O$657)=0),"",O572*'Facturas y gastos'!$B$43/SUM($O$8:$O$657))</f>
        <v/>
      </c>
      <c r="Q572" s="8" t="str">
        <f>IF(OR(O572="",'Facturas y gastos'!$B$5="",P572=""),"",O572*'Facturas y gastos'!$B$5+P572)</f>
        <v/>
      </c>
      <c r="R572" s="8" t="str">
        <f t="shared" si="17"/>
        <v/>
      </c>
    </row>
    <row r="573" spans="1:18">
      <c r="A573" s="20"/>
      <c r="B573" s="20"/>
      <c r="C573" s="20"/>
      <c r="D573" s="20"/>
      <c r="E573" s="20"/>
      <c r="F573" s="30"/>
      <c r="G573" s="30"/>
      <c r="H573" s="21"/>
      <c r="I573" s="21"/>
      <c r="J573" s="8" t="str">
        <f>IF(OR(A573="",I573=""),"",IF(SUMIFS($I$8:$I$657,$A$8:$A$657,A573)=0,"",I573*SUMIFS('Facturas y gastos'!$D$10:$D$13,'Facturas y gastos'!$A$10:$A$13,A573)/SUMIFS($I$8:$I$657,$A$8:$A$657,A573)))</f>
        <v/>
      </c>
      <c r="K573" s="8" t="str">
        <f>IF(J573="","",IF(SUMIFS('Facturas y gastos'!$D$10:$D$13,'Facturas y gastos'!$A$10:$A$13,A573)=0,"",J573*SUMIFS('Facturas y gastos'!$G$10:$G$13,'Facturas y gastos'!$A$10:$A$13,A573)/SUMIFS('Facturas y gastos'!$D$10:$D$13,'Facturas y gastos'!$A$10:$A$13,A573)))</f>
        <v/>
      </c>
      <c r="L573" s="8" t="str">
        <f>IF(J573="","",IF(SUMIFS('Facturas y gastos'!$D$10:$D$13,'Facturas y gastos'!$A$10:$A$13,A573)=0,"",J573*SUMIFS('Facturas y gastos'!$H$10:$H$13,'Facturas y gastos'!$A$10:$A$13,A573)/SUMIFS('Facturas y gastos'!$D$10:$D$13,'Facturas y gastos'!$A$10:$A$13,A573)))</f>
        <v/>
      </c>
      <c r="M573" s="8" t="str">
        <f>IF(J573="","",IF(SUMIFS('Facturas y gastos'!$D$10:$D$13,'Facturas y gastos'!$A$10:$A$13,A573)=0,"",J573*SUMIFS('Facturas y gastos'!$I$10:$I$13,'Facturas y gastos'!$A$10:$A$13,A573)/SUMIFS('Facturas y gastos'!$D$10:$D$13,'Facturas y gastos'!$A$10:$A$13,A573)))</f>
        <v/>
      </c>
      <c r="N573" s="8" t="str">
        <f>IF(J573="","",IF(SUMIFS('Facturas y gastos'!$D$10:$D$13,'Facturas y gastos'!$A$10:$A$13,A573)=0,"",J573*SUMIFS('Facturas y gastos'!$J$10:$J$13,'Facturas y gastos'!$A$10:$A$13,A573)/SUMIFS('Facturas y gastos'!$D$10:$D$13,'Facturas y gastos'!$A$10:$A$13,A573)))</f>
        <v/>
      </c>
      <c r="O573" s="8" t="str">
        <f t="shared" si="16"/>
        <v/>
      </c>
      <c r="P573" s="8" t="str">
        <f>IF(OR(O573="",'Facturas y gastos'!$B$24="",'Facturas y gastos'!$B$45&lt;&gt;"OK",SUM($O$8:$O$657)=0),"",O573*'Facturas y gastos'!$B$43/SUM($O$8:$O$657))</f>
        <v/>
      </c>
      <c r="Q573" s="8" t="str">
        <f>IF(OR(O573="",'Facturas y gastos'!$B$5="",P573=""),"",O573*'Facturas y gastos'!$B$5+P573)</f>
        <v/>
      </c>
      <c r="R573" s="8" t="str">
        <f t="shared" si="17"/>
        <v/>
      </c>
    </row>
    <row r="574" spans="1:18">
      <c r="A574" s="20"/>
      <c r="B574" s="20"/>
      <c r="C574" s="20"/>
      <c r="D574" s="20"/>
      <c r="E574" s="20"/>
      <c r="F574" s="30"/>
      <c r="G574" s="30"/>
      <c r="H574" s="21"/>
      <c r="I574" s="21"/>
      <c r="J574" s="8" t="str">
        <f>IF(OR(A574="",I574=""),"",IF(SUMIFS($I$8:$I$657,$A$8:$A$657,A574)=0,"",I574*SUMIFS('Facturas y gastos'!$D$10:$D$13,'Facturas y gastos'!$A$10:$A$13,A574)/SUMIFS($I$8:$I$657,$A$8:$A$657,A574)))</f>
        <v/>
      </c>
      <c r="K574" s="8" t="str">
        <f>IF(J574="","",IF(SUMIFS('Facturas y gastos'!$D$10:$D$13,'Facturas y gastos'!$A$10:$A$13,A574)=0,"",J574*SUMIFS('Facturas y gastos'!$G$10:$G$13,'Facturas y gastos'!$A$10:$A$13,A574)/SUMIFS('Facturas y gastos'!$D$10:$D$13,'Facturas y gastos'!$A$10:$A$13,A574)))</f>
        <v/>
      </c>
      <c r="L574" s="8" t="str">
        <f>IF(J574="","",IF(SUMIFS('Facturas y gastos'!$D$10:$D$13,'Facturas y gastos'!$A$10:$A$13,A574)=0,"",J574*SUMIFS('Facturas y gastos'!$H$10:$H$13,'Facturas y gastos'!$A$10:$A$13,A574)/SUMIFS('Facturas y gastos'!$D$10:$D$13,'Facturas y gastos'!$A$10:$A$13,A574)))</f>
        <v/>
      </c>
      <c r="M574" s="8" t="str">
        <f>IF(J574="","",IF(SUMIFS('Facturas y gastos'!$D$10:$D$13,'Facturas y gastos'!$A$10:$A$13,A574)=0,"",J574*SUMIFS('Facturas y gastos'!$I$10:$I$13,'Facturas y gastos'!$A$10:$A$13,A574)/SUMIFS('Facturas y gastos'!$D$10:$D$13,'Facturas y gastos'!$A$10:$A$13,A574)))</f>
        <v/>
      </c>
      <c r="N574" s="8" t="str">
        <f>IF(J574="","",IF(SUMIFS('Facturas y gastos'!$D$10:$D$13,'Facturas y gastos'!$A$10:$A$13,A574)=0,"",J574*SUMIFS('Facturas y gastos'!$J$10:$J$13,'Facturas y gastos'!$A$10:$A$13,A574)/SUMIFS('Facturas y gastos'!$D$10:$D$13,'Facturas y gastos'!$A$10:$A$13,A574)))</f>
        <v/>
      </c>
      <c r="O574" s="8" t="str">
        <f t="shared" si="16"/>
        <v/>
      </c>
      <c r="P574" s="8" t="str">
        <f>IF(OR(O574="",'Facturas y gastos'!$B$24="",'Facturas y gastos'!$B$45&lt;&gt;"OK",SUM($O$8:$O$657)=0),"",O574*'Facturas y gastos'!$B$43/SUM($O$8:$O$657))</f>
        <v/>
      </c>
      <c r="Q574" s="8" t="str">
        <f>IF(OR(O574="",'Facturas y gastos'!$B$5="",P574=""),"",O574*'Facturas y gastos'!$B$5+P574)</f>
        <v/>
      </c>
      <c r="R574" s="8" t="str">
        <f t="shared" si="17"/>
        <v/>
      </c>
    </row>
    <row r="575" spans="1:18">
      <c r="A575" s="20"/>
      <c r="B575" s="20"/>
      <c r="C575" s="20"/>
      <c r="D575" s="20"/>
      <c r="E575" s="20"/>
      <c r="F575" s="30"/>
      <c r="G575" s="30"/>
      <c r="H575" s="21"/>
      <c r="I575" s="21"/>
      <c r="J575" s="8" t="str">
        <f>IF(OR(A575="",I575=""),"",IF(SUMIFS($I$8:$I$657,$A$8:$A$657,A575)=0,"",I575*SUMIFS('Facturas y gastos'!$D$10:$D$13,'Facturas y gastos'!$A$10:$A$13,A575)/SUMIFS($I$8:$I$657,$A$8:$A$657,A575)))</f>
        <v/>
      </c>
      <c r="K575" s="8" t="str">
        <f>IF(J575="","",IF(SUMIFS('Facturas y gastos'!$D$10:$D$13,'Facturas y gastos'!$A$10:$A$13,A575)=0,"",J575*SUMIFS('Facturas y gastos'!$G$10:$G$13,'Facturas y gastos'!$A$10:$A$13,A575)/SUMIFS('Facturas y gastos'!$D$10:$D$13,'Facturas y gastos'!$A$10:$A$13,A575)))</f>
        <v/>
      </c>
      <c r="L575" s="8" t="str">
        <f>IF(J575="","",IF(SUMIFS('Facturas y gastos'!$D$10:$D$13,'Facturas y gastos'!$A$10:$A$13,A575)=0,"",J575*SUMIFS('Facturas y gastos'!$H$10:$H$13,'Facturas y gastos'!$A$10:$A$13,A575)/SUMIFS('Facturas y gastos'!$D$10:$D$13,'Facturas y gastos'!$A$10:$A$13,A575)))</f>
        <v/>
      </c>
      <c r="M575" s="8" t="str">
        <f>IF(J575="","",IF(SUMIFS('Facturas y gastos'!$D$10:$D$13,'Facturas y gastos'!$A$10:$A$13,A575)=0,"",J575*SUMIFS('Facturas y gastos'!$I$10:$I$13,'Facturas y gastos'!$A$10:$A$13,A575)/SUMIFS('Facturas y gastos'!$D$10:$D$13,'Facturas y gastos'!$A$10:$A$13,A575)))</f>
        <v/>
      </c>
      <c r="N575" s="8" t="str">
        <f>IF(J575="","",IF(SUMIFS('Facturas y gastos'!$D$10:$D$13,'Facturas y gastos'!$A$10:$A$13,A575)=0,"",J575*SUMIFS('Facturas y gastos'!$J$10:$J$13,'Facturas y gastos'!$A$10:$A$13,A575)/SUMIFS('Facturas y gastos'!$D$10:$D$13,'Facturas y gastos'!$A$10:$A$13,A575)))</f>
        <v/>
      </c>
      <c r="O575" s="8" t="str">
        <f t="shared" si="16"/>
        <v/>
      </c>
      <c r="P575" s="8" t="str">
        <f>IF(OR(O575="",'Facturas y gastos'!$B$24="",'Facturas y gastos'!$B$45&lt;&gt;"OK",SUM($O$8:$O$657)=0),"",O575*'Facturas y gastos'!$B$43/SUM($O$8:$O$657))</f>
        <v/>
      </c>
      <c r="Q575" s="8" t="str">
        <f>IF(OR(O575="",'Facturas y gastos'!$B$5="",P575=""),"",O575*'Facturas y gastos'!$B$5+P575)</f>
        <v/>
      </c>
      <c r="R575" s="8" t="str">
        <f t="shared" si="17"/>
        <v/>
      </c>
    </row>
    <row r="576" spans="1:18">
      <c r="A576" s="20"/>
      <c r="B576" s="20"/>
      <c r="C576" s="20"/>
      <c r="D576" s="20"/>
      <c r="E576" s="20"/>
      <c r="F576" s="30"/>
      <c r="G576" s="30"/>
      <c r="H576" s="21"/>
      <c r="I576" s="21"/>
      <c r="J576" s="8" t="str">
        <f>IF(OR(A576="",I576=""),"",IF(SUMIFS($I$8:$I$657,$A$8:$A$657,A576)=0,"",I576*SUMIFS('Facturas y gastos'!$D$10:$D$13,'Facturas y gastos'!$A$10:$A$13,A576)/SUMIFS($I$8:$I$657,$A$8:$A$657,A576)))</f>
        <v/>
      </c>
      <c r="K576" s="8" t="str">
        <f>IF(J576="","",IF(SUMIFS('Facturas y gastos'!$D$10:$D$13,'Facturas y gastos'!$A$10:$A$13,A576)=0,"",J576*SUMIFS('Facturas y gastos'!$G$10:$G$13,'Facturas y gastos'!$A$10:$A$13,A576)/SUMIFS('Facturas y gastos'!$D$10:$D$13,'Facturas y gastos'!$A$10:$A$13,A576)))</f>
        <v/>
      </c>
      <c r="L576" s="8" t="str">
        <f>IF(J576="","",IF(SUMIFS('Facturas y gastos'!$D$10:$D$13,'Facturas y gastos'!$A$10:$A$13,A576)=0,"",J576*SUMIFS('Facturas y gastos'!$H$10:$H$13,'Facturas y gastos'!$A$10:$A$13,A576)/SUMIFS('Facturas y gastos'!$D$10:$D$13,'Facturas y gastos'!$A$10:$A$13,A576)))</f>
        <v/>
      </c>
      <c r="M576" s="8" t="str">
        <f>IF(J576="","",IF(SUMIFS('Facturas y gastos'!$D$10:$D$13,'Facturas y gastos'!$A$10:$A$13,A576)=0,"",J576*SUMIFS('Facturas y gastos'!$I$10:$I$13,'Facturas y gastos'!$A$10:$A$13,A576)/SUMIFS('Facturas y gastos'!$D$10:$D$13,'Facturas y gastos'!$A$10:$A$13,A576)))</f>
        <v/>
      </c>
      <c r="N576" s="8" t="str">
        <f>IF(J576="","",IF(SUMIFS('Facturas y gastos'!$D$10:$D$13,'Facturas y gastos'!$A$10:$A$13,A576)=0,"",J576*SUMIFS('Facturas y gastos'!$J$10:$J$13,'Facturas y gastos'!$A$10:$A$13,A576)/SUMIFS('Facturas y gastos'!$D$10:$D$13,'Facturas y gastos'!$A$10:$A$13,A576)))</f>
        <v/>
      </c>
      <c r="O576" s="8" t="str">
        <f t="shared" si="16"/>
        <v/>
      </c>
      <c r="P576" s="8" t="str">
        <f>IF(OR(O576="",'Facturas y gastos'!$B$24="",'Facturas y gastos'!$B$45&lt;&gt;"OK",SUM($O$8:$O$657)=0),"",O576*'Facturas y gastos'!$B$43/SUM($O$8:$O$657))</f>
        <v/>
      </c>
      <c r="Q576" s="8" t="str">
        <f>IF(OR(O576="",'Facturas y gastos'!$B$5="",P576=""),"",O576*'Facturas y gastos'!$B$5+P576)</f>
        <v/>
      </c>
      <c r="R576" s="8" t="str">
        <f t="shared" si="17"/>
        <v/>
      </c>
    </row>
    <row r="577" spans="1:18">
      <c r="A577" s="20"/>
      <c r="B577" s="20"/>
      <c r="C577" s="20"/>
      <c r="D577" s="20"/>
      <c r="E577" s="20"/>
      <c r="F577" s="30"/>
      <c r="G577" s="30"/>
      <c r="H577" s="21"/>
      <c r="I577" s="21"/>
      <c r="J577" s="8" t="str">
        <f>IF(OR(A577="",I577=""),"",IF(SUMIFS($I$8:$I$657,$A$8:$A$657,A577)=0,"",I577*SUMIFS('Facturas y gastos'!$D$10:$D$13,'Facturas y gastos'!$A$10:$A$13,A577)/SUMIFS($I$8:$I$657,$A$8:$A$657,A577)))</f>
        <v/>
      </c>
      <c r="K577" s="8" t="str">
        <f>IF(J577="","",IF(SUMIFS('Facturas y gastos'!$D$10:$D$13,'Facturas y gastos'!$A$10:$A$13,A577)=0,"",J577*SUMIFS('Facturas y gastos'!$G$10:$G$13,'Facturas y gastos'!$A$10:$A$13,A577)/SUMIFS('Facturas y gastos'!$D$10:$D$13,'Facturas y gastos'!$A$10:$A$13,A577)))</f>
        <v/>
      </c>
      <c r="L577" s="8" t="str">
        <f>IF(J577="","",IF(SUMIFS('Facturas y gastos'!$D$10:$D$13,'Facturas y gastos'!$A$10:$A$13,A577)=0,"",J577*SUMIFS('Facturas y gastos'!$H$10:$H$13,'Facturas y gastos'!$A$10:$A$13,A577)/SUMIFS('Facturas y gastos'!$D$10:$D$13,'Facturas y gastos'!$A$10:$A$13,A577)))</f>
        <v/>
      </c>
      <c r="M577" s="8" t="str">
        <f>IF(J577="","",IF(SUMIFS('Facturas y gastos'!$D$10:$D$13,'Facturas y gastos'!$A$10:$A$13,A577)=0,"",J577*SUMIFS('Facturas y gastos'!$I$10:$I$13,'Facturas y gastos'!$A$10:$A$13,A577)/SUMIFS('Facturas y gastos'!$D$10:$D$13,'Facturas y gastos'!$A$10:$A$13,A577)))</f>
        <v/>
      </c>
      <c r="N577" s="8" t="str">
        <f>IF(J577="","",IF(SUMIFS('Facturas y gastos'!$D$10:$D$13,'Facturas y gastos'!$A$10:$A$13,A577)=0,"",J577*SUMIFS('Facturas y gastos'!$J$10:$J$13,'Facturas y gastos'!$A$10:$A$13,A577)/SUMIFS('Facturas y gastos'!$D$10:$D$13,'Facturas y gastos'!$A$10:$A$13,A577)))</f>
        <v/>
      </c>
      <c r="O577" s="8" t="str">
        <f t="shared" si="16"/>
        <v/>
      </c>
      <c r="P577" s="8" t="str">
        <f>IF(OR(O577="",'Facturas y gastos'!$B$24="",'Facturas y gastos'!$B$45&lt;&gt;"OK",SUM($O$8:$O$657)=0),"",O577*'Facturas y gastos'!$B$43/SUM($O$8:$O$657))</f>
        <v/>
      </c>
      <c r="Q577" s="8" t="str">
        <f>IF(OR(O577="",'Facturas y gastos'!$B$5="",P577=""),"",O577*'Facturas y gastos'!$B$5+P577)</f>
        <v/>
      </c>
      <c r="R577" s="8" t="str">
        <f t="shared" si="17"/>
        <v/>
      </c>
    </row>
    <row r="578" spans="1:18">
      <c r="A578" s="20"/>
      <c r="B578" s="20"/>
      <c r="C578" s="20"/>
      <c r="D578" s="20"/>
      <c r="E578" s="20"/>
      <c r="F578" s="30"/>
      <c r="G578" s="30"/>
      <c r="H578" s="21"/>
      <c r="I578" s="21"/>
      <c r="J578" s="8" t="str">
        <f>IF(OR(A578="",I578=""),"",IF(SUMIFS($I$8:$I$657,$A$8:$A$657,A578)=0,"",I578*SUMIFS('Facturas y gastos'!$D$10:$D$13,'Facturas y gastos'!$A$10:$A$13,A578)/SUMIFS($I$8:$I$657,$A$8:$A$657,A578)))</f>
        <v/>
      </c>
      <c r="K578" s="8" t="str">
        <f>IF(J578="","",IF(SUMIFS('Facturas y gastos'!$D$10:$D$13,'Facturas y gastos'!$A$10:$A$13,A578)=0,"",J578*SUMIFS('Facturas y gastos'!$G$10:$G$13,'Facturas y gastos'!$A$10:$A$13,A578)/SUMIFS('Facturas y gastos'!$D$10:$D$13,'Facturas y gastos'!$A$10:$A$13,A578)))</f>
        <v/>
      </c>
      <c r="L578" s="8" t="str">
        <f>IF(J578="","",IF(SUMIFS('Facturas y gastos'!$D$10:$D$13,'Facturas y gastos'!$A$10:$A$13,A578)=0,"",J578*SUMIFS('Facturas y gastos'!$H$10:$H$13,'Facturas y gastos'!$A$10:$A$13,A578)/SUMIFS('Facturas y gastos'!$D$10:$D$13,'Facturas y gastos'!$A$10:$A$13,A578)))</f>
        <v/>
      </c>
      <c r="M578" s="8" t="str">
        <f>IF(J578="","",IF(SUMIFS('Facturas y gastos'!$D$10:$D$13,'Facturas y gastos'!$A$10:$A$13,A578)=0,"",J578*SUMIFS('Facturas y gastos'!$I$10:$I$13,'Facturas y gastos'!$A$10:$A$13,A578)/SUMIFS('Facturas y gastos'!$D$10:$D$13,'Facturas y gastos'!$A$10:$A$13,A578)))</f>
        <v/>
      </c>
      <c r="N578" s="8" t="str">
        <f>IF(J578="","",IF(SUMIFS('Facturas y gastos'!$D$10:$D$13,'Facturas y gastos'!$A$10:$A$13,A578)=0,"",J578*SUMIFS('Facturas y gastos'!$J$10:$J$13,'Facturas y gastos'!$A$10:$A$13,A578)/SUMIFS('Facturas y gastos'!$D$10:$D$13,'Facturas y gastos'!$A$10:$A$13,A578)))</f>
        <v/>
      </c>
      <c r="O578" s="8" t="str">
        <f t="shared" si="16"/>
        <v/>
      </c>
      <c r="P578" s="8" t="str">
        <f>IF(OR(O578="",'Facturas y gastos'!$B$24="",'Facturas y gastos'!$B$45&lt;&gt;"OK",SUM($O$8:$O$657)=0),"",O578*'Facturas y gastos'!$B$43/SUM($O$8:$O$657))</f>
        <v/>
      </c>
      <c r="Q578" s="8" t="str">
        <f>IF(OR(O578="",'Facturas y gastos'!$B$5="",P578=""),"",O578*'Facturas y gastos'!$B$5+P578)</f>
        <v/>
      </c>
      <c r="R578" s="8" t="str">
        <f t="shared" si="17"/>
        <v/>
      </c>
    </row>
    <row r="579" spans="1:18">
      <c r="A579" s="20"/>
      <c r="B579" s="20"/>
      <c r="C579" s="20"/>
      <c r="D579" s="20"/>
      <c r="E579" s="20"/>
      <c r="F579" s="30"/>
      <c r="G579" s="30"/>
      <c r="H579" s="21"/>
      <c r="I579" s="21"/>
      <c r="J579" s="8" t="str">
        <f>IF(OR(A579="",I579=""),"",IF(SUMIFS($I$8:$I$657,$A$8:$A$657,A579)=0,"",I579*SUMIFS('Facturas y gastos'!$D$10:$D$13,'Facturas y gastos'!$A$10:$A$13,A579)/SUMIFS($I$8:$I$657,$A$8:$A$657,A579)))</f>
        <v/>
      </c>
      <c r="K579" s="8" t="str">
        <f>IF(J579="","",IF(SUMIFS('Facturas y gastos'!$D$10:$D$13,'Facturas y gastos'!$A$10:$A$13,A579)=0,"",J579*SUMIFS('Facturas y gastos'!$G$10:$G$13,'Facturas y gastos'!$A$10:$A$13,A579)/SUMIFS('Facturas y gastos'!$D$10:$D$13,'Facturas y gastos'!$A$10:$A$13,A579)))</f>
        <v/>
      </c>
      <c r="L579" s="8" t="str">
        <f>IF(J579="","",IF(SUMIFS('Facturas y gastos'!$D$10:$D$13,'Facturas y gastos'!$A$10:$A$13,A579)=0,"",J579*SUMIFS('Facturas y gastos'!$H$10:$H$13,'Facturas y gastos'!$A$10:$A$13,A579)/SUMIFS('Facturas y gastos'!$D$10:$D$13,'Facturas y gastos'!$A$10:$A$13,A579)))</f>
        <v/>
      </c>
      <c r="M579" s="8" t="str">
        <f>IF(J579="","",IF(SUMIFS('Facturas y gastos'!$D$10:$D$13,'Facturas y gastos'!$A$10:$A$13,A579)=0,"",J579*SUMIFS('Facturas y gastos'!$I$10:$I$13,'Facturas y gastos'!$A$10:$A$13,A579)/SUMIFS('Facturas y gastos'!$D$10:$D$13,'Facturas y gastos'!$A$10:$A$13,A579)))</f>
        <v/>
      </c>
      <c r="N579" s="8" t="str">
        <f>IF(J579="","",IF(SUMIFS('Facturas y gastos'!$D$10:$D$13,'Facturas y gastos'!$A$10:$A$13,A579)=0,"",J579*SUMIFS('Facturas y gastos'!$J$10:$J$13,'Facturas y gastos'!$A$10:$A$13,A579)/SUMIFS('Facturas y gastos'!$D$10:$D$13,'Facturas y gastos'!$A$10:$A$13,A579)))</f>
        <v/>
      </c>
      <c r="O579" s="8" t="str">
        <f t="shared" si="16"/>
        <v/>
      </c>
      <c r="P579" s="8" t="str">
        <f>IF(OR(O579="",'Facturas y gastos'!$B$24="",'Facturas y gastos'!$B$45&lt;&gt;"OK",SUM($O$8:$O$657)=0),"",O579*'Facturas y gastos'!$B$43/SUM($O$8:$O$657))</f>
        <v/>
      </c>
      <c r="Q579" s="8" t="str">
        <f>IF(OR(O579="",'Facturas y gastos'!$B$5="",P579=""),"",O579*'Facturas y gastos'!$B$5+P579)</f>
        <v/>
      </c>
      <c r="R579" s="8" t="str">
        <f t="shared" si="17"/>
        <v/>
      </c>
    </row>
    <row r="580" spans="1:18">
      <c r="A580" s="20"/>
      <c r="B580" s="20"/>
      <c r="C580" s="20"/>
      <c r="D580" s="20"/>
      <c r="E580" s="20"/>
      <c r="F580" s="30"/>
      <c r="G580" s="30"/>
      <c r="H580" s="21"/>
      <c r="I580" s="21"/>
      <c r="J580" s="8" t="str">
        <f>IF(OR(A580="",I580=""),"",IF(SUMIFS($I$8:$I$657,$A$8:$A$657,A580)=0,"",I580*SUMIFS('Facturas y gastos'!$D$10:$D$13,'Facturas y gastos'!$A$10:$A$13,A580)/SUMIFS($I$8:$I$657,$A$8:$A$657,A580)))</f>
        <v/>
      </c>
      <c r="K580" s="8" t="str">
        <f>IF(J580="","",IF(SUMIFS('Facturas y gastos'!$D$10:$D$13,'Facturas y gastos'!$A$10:$A$13,A580)=0,"",J580*SUMIFS('Facturas y gastos'!$G$10:$G$13,'Facturas y gastos'!$A$10:$A$13,A580)/SUMIFS('Facturas y gastos'!$D$10:$D$13,'Facturas y gastos'!$A$10:$A$13,A580)))</f>
        <v/>
      </c>
      <c r="L580" s="8" t="str">
        <f>IF(J580="","",IF(SUMIFS('Facturas y gastos'!$D$10:$D$13,'Facturas y gastos'!$A$10:$A$13,A580)=0,"",J580*SUMIFS('Facturas y gastos'!$H$10:$H$13,'Facturas y gastos'!$A$10:$A$13,A580)/SUMIFS('Facturas y gastos'!$D$10:$D$13,'Facturas y gastos'!$A$10:$A$13,A580)))</f>
        <v/>
      </c>
      <c r="M580" s="8" t="str">
        <f>IF(J580="","",IF(SUMIFS('Facturas y gastos'!$D$10:$D$13,'Facturas y gastos'!$A$10:$A$13,A580)=0,"",J580*SUMIFS('Facturas y gastos'!$I$10:$I$13,'Facturas y gastos'!$A$10:$A$13,A580)/SUMIFS('Facturas y gastos'!$D$10:$D$13,'Facturas y gastos'!$A$10:$A$13,A580)))</f>
        <v/>
      </c>
      <c r="N580" s="8" t="str">
        <f>IF(J580="","",IF(SUMIFS('Facturas y gastos'!$D$10:$D$13,'Facturas y gastos'!$A$10:$A$13,A580)=0,"",J580*SUMIFS('Facturas y gastos'!$J$10:$J$13,'Facturas y gastos'!$A$10:$A$13,A580)/SUMIFS('Facturas y gastos'!$D$10:$D$13,'Facturas y gastos'!$A$10:$A$13,A580)))</f>
        <v/>
      </c>
      <c r="O580" s="8" t="str">
        <f t="shared" si="16"/>
        <v/>
      </c>
      <c r="P580" s="8" t="str">
        <f>IF(OR(O580="",'Facturas y gastos'!$B$24="",'Facturas y gastos'!$B$45&lt;&gt;"OK",SUM($O$8:$O$657)=0),"",O580*'Facturas y gastos'!$B$43/SUM($O$8:$O$657))</f>
        <v/>
      </c>
      <c r="Q580" s="8" t="str">
        <f>IF(OR(O580="",'Facturas y gastos'!$B$5="",P580=""),"",O580*'Facturas y gastos'!$B$5+P580)</f>
        <v/>
      </c>
      <c r="R580" s="8" t="str">
        <f t="shared" si="17"/>
        <v/>
      </c>
    </row>
    <row r="581" spans="1:18">
      <c r="A581" s="20"/>
      <c r="B581" s="20"/>
      <c r="C581" s="20"/>
      <c r="D581" s="20"/>
      <c r="E581" s="20"/>
      <c r="F581" s="30"/>
      <c r="G581" s="30"/>
      <c r="H581" s="21"/>
      <c r="I581" s="21"/>
      <c r="J581" s="8" t="str">
        <f>IF(OR(A581="",I581=""),"",IF(SUMIFS($I$8:$I$657,$A$8:$A$657,A581)=0,"",I581*SUMIFS('Facturas y gastos'!$D$10:$D$13,'Facturas y gastos'!$A$10:$A$13,A581)/SUMIFS($I$8:$I$657,$A$8:$A$657,A581)))</f>
        <v/>
      </c>
      <c r="K581" s="8" t="str">
        <f>IF(J581="","",IF(SUMIFS('Facturas y gastos'!$D$10:$D$13,'Facturas y gastos'!$A$10:$A$13,A581)=0,"",J581*SUMIFS('Facturas y gastos'!$G$10:$G$13,'Facturas y gastos'!$A$10:$A$13,A581)/SUMIFS('Facturas y gastos'!$D$10:$D$13,'Facturas y gastos'!$A$10:$A$13,A581)))</f>
        <v/>
      </c>
      <c r="L581" s="8" t="str">
        <f>IF(J581="","",IF(SUMIFS('Facturas y gastos'!$D$10:$D$13,'Facturas y gastos'!$A$10:$A$13,A581)=0,"",J581*SUMIFS('Facturas y gastos'!$H$10:$H$13,'Facturas y gastos'!$A$10:$A$13,A581)/SUMIFS('Facturas y gastos'!$D$10:$D$13,'Facturas y gastos'!$A$10:$A$13,A581)))</f>
        <v/>
      </c>
      <c r="M581" s="8" t="str">
        <f>IF(J581="","",IF(SUMIFS('Facturas y gastos'!$D$10:$D$13,'Facturas y gastos'!$A$10:$A$13,A581)=0,"",J581*SUMIFS('Facturas y gastos'!$I$10:$I$13,'Facturas y gastos'!$A$10:$A$13,A581)/SUMIFS('Facturas y gastos'!$D$10:$D$13,'Facturas y gastos'!$A$10:$A$13,A581)))</f>
        <v/>
      </c>
      <c r="N581" s="8" t="str">
        <f>IF(J581="","",IF(SUMIFS('Facturas y gastos'!$D$10:$D$13,'Facturas y gastos'!$A$10:$A$13,A581)=0,"",J581*SUMIFS('Facturas y gastos'!$J$10:$J$13,'Facturas y gastos'!$A$10:$A$13,A581)/SUMIFS('Facturas y gastos'!$D$10:$D$13,'Facturas y gastos'!$A$10:$A$13,A581)))</f>
        <v/>
      </c>
      <c r="O581" s="8" t="str">
        <f t="shared" si="16"/>
        <v/>
      </c>
      <c r="P581" s="8" t="str">
        <f>IF(OR(O581="",'Facturas y gastos'!$B$24="",'Facturas y gastos'!$B$45&lt;&gt;"OK",SUM($O$8:$O$657)=0),"",O581*'Facturas y gastos'!$B$43/SUM($O$8:$O$657))</f>
        <v/>
      </c>
      <c r="Q581" s="8" t="str">
        <f>IF(OR(O581="",'Facturas y gastos'!$B$5="",P581=""),"",O581*'Facturas y gastos'!$B$5+P581)</f>
        <v/>
      </c>
      <c r="R581" s="8" t="str">
        <f t="shared" si="17"/>
        <v/>
      </c>
    </row>
    <row r="582" spans="1:18">
      <c r="A582" s="20"/>
      <c r="B582" s="20"/>
      <c r="C582" s="20"/>
      <c r="D582" s="20"/>
      <c r="E582" s="20"/>
      <c r="F582" s="30"/>
      <c r="G582" s="30"/>
      <c r="H582" s="21"/>
      <c r="I582" s="21"/>
      <c r="J582" s="8" t="str">
        <f>IF(OR(A582="",I582=""),"",IF(SUMIFS($I$8:$I$657,$A$8:$A$657,A582)=0,"",I582*SUMIFS('Facturas y gastos'!$D$10:$D$13,'Facturas y gastos'!$A$10:$A$13,A582)/SUMIFS($I$8:$I$657,$A$8:$A$657,A582)))</f>
        <v/>
      </c>
      <c r="K582" s="8" t="str">
        <f>IF(J582="","",IF(SUMIFS('Facturas y gastos'!$D$10:$D$13,'Facturas y gastos'!$A$10:$A$13,A582)=0,"",J582*SUMIFS('Facturas y gastos'!$G$10:$G$13,'Facturas y gastos'!$A$10:$A$13,A582)/SUMIFS('Facturas y gastos'!$D$10:$D$13,'Facturas y gastos'!$A$10:$A$13,A582)))</f>
        <v/>
      </c>
      <c r="L582" s="8" t="str">
        <f>IF(J582="","",IF(SUMIFS('Facturas y gastos'!$D$10:$D$13,'Facturas y gastos'!$A$10:$A$13,A582)=0,"",J582*SUMIFS('Facturas y gastos'!$H$10:$H$13,'Facturas y gastos'!$A$10:$A$13,A582)/SUMIFS('Facturas y gastos'!$D$10:$D$13,'Facturas y gastos'!$A$10:$A$13,A582)))</f>
        <v/>
      </c>
      <c r="M582" s="8" t="str">
        <f>IF(J582="","",IF(SUMIFS('Facturas y gastos'!$D$10:$D$13,'Facturas y gastos'!$A$10:$A$13,A582)=0,"",J582*SUMIFS('Facturas y gastos'!$I$10:$I$13,'Facturas y gastos'!$A$10:$A$13,A582)/SUMIFS('Facturas y gastos'!$D$10:$D$13,'Facturas y gastos'!$A$10:$A$13,A582)))</f>
        <v/>
      </c>
      <c r="N582" s="8" t="str">
        <f>IF(J582="","",IF(SUMIFS('Facturas y gastos'!$D$10:$D$13,'Facturas y gastos'!$A$10:$A$13,A582)=0,"",J582*SUMIFS('Facturas y gastos'!$J$10:$J$13,'Facturas y gastos'!$A$10:$A$13,A582)/SUMIFS('Facturas y gastos'!$D$10:$D$13,'Facturas y gastos'!$A$10:$A$13,A582)))</f>
        <v/>
      </c>
      <c r="O582" s="8" t="str">
        <f t="shared" si="16"/>
        <v/>
      </c>
      <c r="P582" s="8" t="str">
        <f>IF(OR(O582="",'Facturas y gastos'!$B$24="",'Facturas y gastos'!$B$45&lt;&gt;"OK",SUM($O$8:$O$657)=0),"",O582*'Facturas y gastos'!$B$43/SUM($O$8:$O$657))</f>
        <v/>
      </c>
      <c r="Q582" s="8" t="str">
        <f>IF(OR(O582="",'Facturas y gastos'!$B$5="",P582=""),"",O582*'Facturas y gastos'!$B$5+P582)</f>
        <v/>
      </c>
      <c r="R582" s="8" t="str">
        <f t="shared" si="17"/>
        <v/>
      </c>
    </row>
    <row r="583" spans="1:18">
      <c r="A583" s="20"/>
      <c r="B583" s="20"/>
      <c r="C583" s="20"/>
      <c r="D583" s="20"/>
      <c r="E583" s="20"/>
      <c r="F583" s="30"/>
      <c r="G583" s="30"/>
      <c r="H583" s="21"/>
      <c r="I583" s="21"/>
      <c r="J583" s="8" t="str">
        <f>IF(OR(A583="",I583=""),"",IF(SUMIFS($I$8:$I$657,$A$8:$A$657,A583)=0,"",I583*SUMIFS('Facturas y gastos'!$D$10:$D$13,'Facturas y gastos'!$A$10:$A$13,A583)/SUMIFS($I$8:$I$657,$A$8:$A$657,A583)))</f>
        <v/>
      </c>
      <c r="K583" s="8" t="str">
        <f>IF(J583="","",IF(SUMIFS('Facturas y gastos'!$D$10:$D$13,'Facturas y gastos'!$A$10:$A$13,A583)=0,"",J583*SUMIFS('Facturas y gastos'!$G$10:$G$13,'Facturas y gastos'!$A$10:$A$13,A583)/SUMIFS('Facturas y gastos'!$D$10:$D$13,'Facturas y gastos'!$A$10:$A$13,A583)))</f>
        <v/>
      </c>
      <c r="L583" s="8" t="str">
        <f>IF(J583="","",IF(SUMIFS('Facturas y gastos'!$D$10:$D$13,'Facturas y gastos'!$A$10:$A$13,A583)=0,"",J583*SUMIFS('Facturas y gastos'!$H$10:$H$13,'Facturas y gastos'!$A$10:$A$13,A583)/SUMIFS('Facturas y gastos'!$D$10:$D$13,'Facturas y gastos'!$A$10:$A$13,A583)))</f>
        <v/>
      </c>
      <c r="M583" s="8" t="str">
        <f>IF(J583="","",IF(SUMIFS('Facturas y gastos'!$D$10:$D$13,'Facturas y gastos'!$A$10:$A$13,A583)=0,"",J583*SUMIFS('Facturas y gastos'!$I$10:$I$13,'Facturas y gastos'!$A$10:$A$13,A583)/SUMIFS('Facturas y gastos'!$D$10:$D$13,'Facturas y gastos'!$A$10:$A$13,A583)))</f>
        <v/>
      </c>
      <c r="N583" s="8" t="str">
        <f>IF(J583="","",IF(SUMIFS('Facturas y gastos'!$D$10:$D$13,'Facturas y gastos'!$A$10:$A$13,A583)=0,"",J583*SUMIFS('Facturas y gastos'!$J$10:$J$13,'Facturas y gastos'!$A$10:$A$13,A583)/SUMIFS('Facturas y gastos'!$D$10:$D$13,'Facturas y gastos'!$A$10:$A$13,A583)))</f>
        <v/>
      </c>
      <c r="O583" s="8" t="str">
        <f t="shared" si="16"/>
        <v/>
      </c>
      <c r="P583" s="8" t="str">
        <f>IF(OR(O583="",'Facturas y gastos'!$B$24="",'Facturas y gastos'!$B$45&lt;&gt;"OK",SUM($O$8:$O$657)=0),"",O583*'Facturas y gastos'!$B$43/SUM($O$8:$O$657))</f>
        <v/>
      </c>
      <c r="Q583" s="8" t="str">
        <f>IF(OR(O583="",'Facturas y gastos'!$B$5="",P583=""),"",O583*'Facturas y gastos'!$B$5+P583)</f>
        <v/>
      </c>
      <c r="R583" s="8" t="str">
        <f t="shared" si="17"/>
        <v/>
      </c>
    </row>
    <row r="584" spans="1:18">
      <c r="A584" s="20"/>
      <c r="B584" s="20"/>
      <c r="C584" s="20"/>
      <c r="D584" s="20"/>
      <c r="E584" s="20"/>
      <c r="F584" s="30"/>
      <c r="G584" s="30"/>
      <c r="H584" s="21"/>
      <c r="I584" s="21"/>
      <c r="J584" s="8" t="str">
        <f>IF(OR(A584="",I584=""),"",IF(SUMIFS($I$8:$I$657,$A$8:$A$657,A584)=0,"",I584*SUMIFS('Facturas y gastos'!$D$10:$D$13,'Facturas y gastos'!$A$10:$A$13,A584)/SUMIFS($I$8:$I$657,$A$8:$A$657,A584)))</f>
        <v/>
      </c>
      <c r="K584" s="8" t="str">
        <f>IF(J584="","",IF(SUMIFS('Facturas y gastos'!$D$10:$D$13,'Facturas y gastos'!$A$10:$A$13,A584)=0,"",J584*SUMIFS('Facturas y gastos'!$G$10:$G$13,'Facturas y gastos'!$A$10:$A$13,A584)/SUMIFS('Facturas y gastos'!$D$10:$D$13,'Facturas y gastos'!$A$10:$A$13,A584)))</f>
        <v/>
      </c>
      <c r="L584" s="8" t="str">
        <f>IF(J584="","",IF(SUMIFS('Facturas y gastos'!$D$10:$D$13,'Facturas y gastos'!$A$10:$A$13,A584)=0,"",J584*SUMIFS('Facturas y gastos'!$H$10:$H$13,'Facturas y gastos'!$A$10:$A$13,A584)/SUMIFS('Facturas y gastos'!$D$10:$D$13,'Facturas y gastos'!$A$10:$A$13,A584)))</f>
        <v/>
      </c>
      <c r="M584" s="8" t="str">
        <f>IF(J584="","",IF(SUMIFS('Facturas y gastos'!$D$10:$D$13,'Facturas y gastos'!$A$10:$A$13,A584)=0,"",J584*SUMIFS('Facturas y gastos'!$I$10:$I$13,'Facturas y gastos'!$A$10:$A$13,A584)/SUMIFS('Facturas y gastos'!$D$10:$D$13,'Facturas y gastos'!$A$10:$A$13,A584)))</f>
        <v/>
      </c>
      <c r="N584" s="8" t="str">
        <f>IF(J584="","",IF(SUMIFS('Facturas y gastos'!$D$10:$D$13,'Facturas y gastos'!$A$10:$A$13,A584)=0,"",J584*SUMIFS('Facturas y gastos'!$J$10:$J$13,'Facturas y gastos'!$A$10:$A$13,A584)/SUMIFS('Facturas y gastos'!$D$10:$D$13,'Facturas y gastos'!$A$10:$A$13,A584)))</f>
        <v/>
      </c>
      <c r="O584" s="8" t="str">
        <f t="shared" ref="O584:O647" si="18">IF(J584="","",J584-K584+L584+M584+N584)</f>
        <v/>
      </c>
      <c r="P584" s="8" t="str">
        <f>IF(OR(O584="",'Facturas y gastos'!$B$24="",'Facturas y gastos'!$B$45&lt;&gt;"OK",SUM($O$8:$O$657)=0),"",O584*'Facturas y gastos'!$B$43/SUM($O$8:$O$657))</f>
        <v/>
      </c>
      <c r="Q584" s="8" t="str">
        <f>IF(OR(O584="",'Facturas y gastos'!$B$5="",P584=""),"",O584*'Facturas y gastos'!$B$5+P584)</f>
        <v/>
      </c>
      <c r="R584" s="8" t="str">
        <f t="shared" ref="R584:R647" si="19">IF(OR(Q584="",F584="",F584=0),"",Q584/F584)</f>
        <v/>
      </c>
    </row>
    <row r="585" spans="1:18">
      <c r="A585" s="20"/>
      <c r="B585" s="20"/>
      <c r="C585" s="20"/>
      <c r="D585" s="20"/>
      <c r="E585" s="20"/>
      <c r="F585" s="30"/>
      <c r="G585" s="30"/>
      <c r="H585" s="21"/>
      <c r="I585" s="21"/>
      <c r="J585" s="8" t="str">
        <f>IF(OR(A585="",I585=""),"",IF(SUMIFS($I$8:$I$657,$A$8:$A$657,A585)=0,"",I585*SUMIFS('Facturas y gastos'!$D$10:$D$13,'Facturas y gastos'!$A$10:$A$13,A585)/SUMIFS($I$8:$I$657,$A$8:$A$657,A585)))</f>
        <v/>
      </c>
      <c r="K585" s="8" t="str">
        <f>IF(J585="","",IF(SUMIFS('Facturas y gastos'!$D$10:$D$13,'Facturas y gastos'!$A$10:$A$13,A585)=0,"",J585*SUMIFS('Facturas y gastos'!$G$10:$G$13,'Facturas y gastos'!$A$10:$A$13,A585)/SUMIFS('Facturas y gastos'!$D$10:$D$13,'Facturas y gastos'!$A$10:$A$13,A585)))</f>
        <v/>
      </c>
      <c r="L585" s="8" t="str">
        <f>IF(J585="","",IF(SUMIFS('Facturas y gastos'!$D$10:$D$13,'Facturas y gastos'!$A$10:$A$13,A585)=0,"",J585*SUMIFS('Facturas y gastos'!$H$10:$H$13,'Facturas y gastos'!$A$10:$A$13,A585)/SUMIFS('Facturas y gastos'!$D$10:$D$13,'Facturas y gastos'!$A$10:$A$13,A585)))</f>
        <v/>
      </c>
      <c r="M585" s="8" t="str">
        <f>IF(J585="","",IF(SUMIFS('Facturas y gastos'!$D$10:$D$13,'Facturas y gastos'!$A$10:$A$13,A585)=0,"",J585*SUMIFS('Facturas y gastos'!$I$10:$I$13,'Facturas y gastos'!$A$10:$A$13,A585)/SUMIFS('Facturas y gastos'!$D$10:$D$13,'Facturas y gastos'!$A$10:$A$13,A585)))</f>
        <v/>
      </c>
      <c r="N585" s="8" t="str">
        <f>IF(J585="","",IF(SUMIFS('Facturas y gastos'!$D$10:$D$13,'Facturas y gastos'!$A$10:$A$13,A585)=0,"",J585*SUMIFS('Facturas y gastos'!$J$10:$J$13,'Facturas y gastos'!$A$10:$A$13,A585)/SUMIFS('Facturas y gastos'!$D$10:$D$13,'Facturas y gastos'!$A$10:$A$13,A585)))</f>
        <v/>
      </c>
      <c r="O585" s="8" t="str">
        <f t="shared" si="18"/>
        <v/>
      </c>
      <c r="P585" s="8" t="str">
        <f>IF(OR(O585="",'Facturas y gastos'!$B$24="",'Facturas y gastos'!$B$45&lt;&gt;"OK",SUM($O$8:$O$657)=0),"",O585*'Facturas y gastos'!$B$43/SUM($O$8:$O$657))</f>
        <v/>
      </c>
      <c r="Q585" s="8" t="str">
        <f>IF(OR(O585="",'Facturas y gastos'!$B$5="",P585=""),"",O585*'Facturas y gastos'!$B$5+P585)</f>
        <v/>
      </c>
      <c r="R585" s="8" t="str">
        <f t="shared" si="19"/>
        <v/>
      </c>
    </row>
    <row r="586" spans="1:18">
      <c r="A586" s="20"/>
      <c r="B586" s="20"/>
      <c r="C586" s="20"/>
      <c r="D586" s="20"/>
      <c r="E586" s="20"/>
      <c r="F586" s="30"/>
      <c r="G586" s="30"/>
      <c r="H586" s="21"/>
      <c r="I586" s="21"/>
      <c r="J586" s="8" t="str">
        <f>IF(OR(A586="",I586=""),"",IF(SUMIFS($I$8:$I$657,$A$8:$A$657,A586)=0,"",I586*SUMIFS('Facturas y gastos'!$D$10:$D$13,'Facturas y gastos'!$A$10:$A$13,A586)/SUMIFS($I$8:$I$657,$A$8:$A$657,A586)))</f>
        <v/>
      </c>
      <c r="K586" s="8" t="str">
        <f>IF(J586="","",IF(SUMIFS('Facturas y gastos'!$D$10:$D$13,'Facturas y gastos'!$A$10:$A$13,A586)=0,"",J586*SUMIFS('Facturas y gastos'!$G$10:$G$13,'Facturas y gastos'!$A$10:$A$13,A586)/SUMIFS('Facturas y gastos'!$D$10:$D$13,'Facturas y gastos'!$A$10:$A$13,A586)))</f>
        <v/>
      </c>
      <c r="L586" s="8" t="str">
        <f>IF(J586="","",IF(SUMIFS('Facturas y gastos'!$D$10:$D$13,'Facturas y gastos'!$A$10:$A$13,A586)=0,"",J586*SUMIFS('Facturas y gastos'!$H$10:$H$13,'Facturas y gastos'!$A$10:$A$13,A586)/SUMIFS('Facturas y gastos'!$D$10:$D$13,'Facturas y gastos'!$A$10:$A$13,A586)))</f>
        <v/>
      </c>
      <c r="M586" s="8" t="str">
        <f>IF(J586="","",IF(SUMIFS('Facturas y gastos'!$D$10:$D$13,'Facturas y gastos'!$A$10:$A$13,A586)=0,"",J586*SUMIFS('Facturas y gastos'!$I$10:$I$13,'Facturas y gastos'!$A$10:$A$13,A586)/SUMIFS('Facturas y gastos'!$D$10:$D$13,'Facturas y gastos'!$A$10:$A$13,A586)))</f>
        <v/>
      </c>
      <c r="N586" s="8" t="str">
        <f>IF(J586="","",IF(SUMIFS('Facturas y gastos'!$D$10:$D$13,'Facturas y gastos'!$A$10:$A$13,A586)=0,"",J586*SUMIFS('Facturas y gastos'!$J$10:$J$13,'Facturas y gastos'!$A$10:$A$13,A586)/SUMIFS('Facturas y gastos'!$D$10:$D$13,'Facturas y gastos'!$A$10:$A$13,A586)))</f>
        <v/>
      </c>
      <c r="O586" s="8" t="str">
        <f t="shared" si="18"/>
        <v/>
      </c>
      <c r="P586" s="8" t="str">
        <f>IF(OR(O586="",'Facturas y gastos'!$B$24="",'Facturas y gastos'!$B$45&lt;&gt;"OK",SUM($O$8:$O$657)=0),"",O586*'Facturas y gastos'!$B$43/SUM($O$8:$O$657))</f>
        <v/>
      </c>
      <c r="Q586" s="8" t="str">
        <f>IF(OR(O586="",'Facturas y gastos'!$B$5="",P586=""),"",O586*'Facturas y gastos'!$B$5+P586)</f>
        <v/>
      </c>
      <c r="R586" s="8" t="str">
        <f t="shared" si="19"/>
        <v/>
      </c>
    </row>
    <row r="587" spans="1:18">
      <c r="A587" s="20"/>
      <c r="B587" s="20"/>
      <c r="C587" s="20"/>
      <c r="D587" s="20"/>
      <c r="E587" s="20"/>
      <c r="F587" s="30"/>
      <c r="G587" s="30"/>
      <c r="H587" s="21"/>
      <c r="I587" s="21"/>
      <c r="J587" s="8" t="str">
        <f>IF(OR(A587="",I587=""),"",IF(SUMIFS($I$8:$I$657,$A$8:$A$657,A587)=0,"",I587*SUMIFS('Facturas y gastos'!$D$10:$D$13,'Facturas y gastos'!$A$10:$A$13,A587)/SUMIFS($I$8:$I$657,$A$8:$A$657,A587)))</f>
        <v/>
      </c>
      <c r="K587" s="8" t="str">
        <f>IF(J587="","",IF(SUMIFS('Facturas y gastos'!$D$10:$D$13,'Facturas y gastos'!$A$10:$A$13,A587)=0,"",J587*SUMIFS('Facturas y gastos'!$G$10:$G$13,'Facturas y gastos'!$A$10:$A$13,A587)/SUMIFS('Facturas y gastos'!$D$10:$D$13,'Facturas y gastos'!$A$10:$A$13,A587)))</f>
        <v/>
      </c>
      <c r="L587" s="8" t="str">
        <f>IF(J587="","",IF(SUMIFS('Facturas y gastos'!$D$10:$D$13,'Facturas y gastos'!$A$10:$A$13,A587)=0,"",J587*SUMIFS('Facturas y gastos'!$H$10:$H$13,'Facturas y gastos'!$A$10:$A$13,A587)/SUMIFS('Facturas y gastos'!$D$10:$D$13,'Facturas y gastos'!$A$10:$A$13,A587)))</f>
        <v/>
      </c>
      <c r="M587" s="8" t="str">
        <f>IF(J587="","",IF(SUMIFS('Facturas y gastos'!$D$10:$D$13,'Facturas y gastos'!$A$10:$A$13,A587)=0,"",J587*SUMIFS('Facturas y gastos'!$I$10:$I$13,'Facturas y gastos'!$A$10:$A$13,A587)/SUMIFS('Facturas y gastos'!$D$10:$D$13,'Facturas y gastos'!$A$10:$A$13,A587)))</f>
        <v/>
      </c>
      <c r="N587" s="8" t="str">
        <f>IF(J587="","",IF(SUMIFS('Facturas y gastos'!$D$10:$D$13,'Facturas y gastos'!$A$10:$A$13,A587)=0,"",J587*SUMIFS('Facturas y gastos'!$J$10:$J$13,'Facturas y gastos'!$A$10:$A$13,A587)/SUMIFS('Facturas y gastos'!$D$10:$D$13,'Facturas y gastos'!$A$10:$A$13,A587)))</f>
        <v/>
      </c>
      <c r="O587" s="8" t="str">
        <f t="shared" si="18"/>
        <v/>
      </c>
      <c r="P587" s="8" t="str">
        <f>IF(OR(O587="",'Facturas y gastos'!$B$24="",'Facturas y gastos'!$B$45&lt;&gt;"OK",SUM($O$8:$O$657)=0),"",O587*'Facturas y gastos'!$B$43/SUM($O$8:$O$657))</f>
        <v/>
      </c>
      <c r="Q587" s="8" t="str">
        <f>IF(OR(O587="",'Facturas y gastos'!$B$5="",P587=""),"",O587*'Facturas y gastos'!$B$5+P587)</f>
        <v/>
      </c>
      <c r="R587" s="8" t="str">
        <f t="shared" si="19"/>
        <v/>
      </c>
    </row>
    <row r="588" spans="1:18">
      <c r="A588" s="20"/>
      <c r="B588" s="20"/>
      <c r="C588" s="20"/>
      <c r="D588" s="20"/>
      <c r="E588" s="20"/>
      <c r="F588" s="30"/>
      <c r="G588" s="30"/>
      <c r="H588" s="21"/>
      <c r="I588" s="21"/>
      <c r="J588" s="8" t="str">
        <f>IF(OR(A588="",I588=""),"",IF(SUMIFS($I$8:$I$657,$A$8:$A$657,A588)=0,"",I588*SUMIFS('Facturas y gastos'!$D$10:$D$13,'Facturas y gastos'!$A$10:$A$13,A588)/SUMIFS($I$8:$I$657,$A$8:$A$657,A588)))</f>
        <v/>
      </c>
      <c r="K588" s="8" t="str">
        <f>IF(J588="","",IF(SUMIFS('Facturas y gastos'!$D$10:$D$13,'Facturas y gastos'!$A$10:$A$13,A588)=0,"",J588*SUMIFS('Facturas y gastos'!$G$10:$G$13,'Facturas y gastos'!$A$10:$A$13,A588)/SUMIFS('Facturas y gastos'!$D$10:$D$13,'Facturas y gastos'!$A$10:$A$13,A588)))</f>
        <v/>
      </c>
      <c r="L588" s="8" t="str">
        <f>IF(J588="","",IF(SUMIFS('Facturas y gastos'!$D$10:$D$13,'Facturas y gastos'!$A$10:$A$13,A588)=0,"",J588*SUMIFS('Facturas y gastos'!$H$10:$H$13,'Facturas y gastos'!$A$10:$A$13,A588)/SUMIFS('Facturas y gastos'!$D$10:$D$13,'Facturas y gastos'!$A$10:$A$13,A588)))</f>
        <v/>
      </c>
      <c r="M588" s="8" t="str">
        <f>IF(J588="","",IF(SUMIFS('Facturas y gastos'!$D$10:$D$13,'Facturas y gastos'!$A$10:$A$13,A588)=0,"",J588*SUMIFS('Facturas y gastos'!$I$10:$I$13,'Facturas y gastos'!$A$10:$A$13,A588)/SUMIFS('Facturas y gastos'!$D$10:$D$13,'Facturas y gastos'!$A$10:$A$13,A588)))</f>
        <v/>
      </c>
      <c r="N588" s="8" t="str">
        <f>IF(J588="","",IF(SUMIFS('Facturas y gastos'!$D$10:$D$13,'Facturas y gastos'!$A$10:$A$13,A588)=0,"",J588*SUMIFS('Facturas y gastos'!$J$10:$J$13,'Facturas y gastos'!$A$10:$A$13,A588)/SUMIFS('Facturas y gastos'!$D$10:$D$13,'Facturas y gastos'!$A$10:$A$13,A588)))</f>
        <v/>
      </c>
      <c r="O588" s="8" t="str">
        <f t="shared" si="18"/>
        <v/>
      </c>
      <c r="P588" s="8" t="str">
        <f>IF(OR(O588="",'Facturas y gastos'!$B$24="",'Facturas y gastos'!$B$45&lt;&gt;"OK",SUM($O$8:$O$657)=0),"",O588*'Facturas y gastos'!$B$43/SUM($O$8:$O$657))</f>
        <v/>
      </c>
      <c r="Q588" s="8" t="str">
        <f>IF(OR(O588="",'Facturas y gastos'!$B$5="",P588=""),"",O588*'Facturas y gastos'!$B$5+P588)</f>
        <v/>
      </c>
      <c r="R588" s="8" t="str">
        <f t="shared" si="19"/>
        <v/>
      </c>
    </row>
    <row r="589" spans="1:18">
      <c r="A589" s="20"/>
      <c r="B589" s="20"/>
      <c r="C589" s="20"/>
      <c r="D589" s="20"/>
      <c r="E589" s="20"/>
      <c r="F589" s="30"/>
      <c r="G589" s="30"/>
      <c r="H589" s="21"/>
      <c r="I589" s="21"/>
      <c r="J589" s="8" t="str">
        <f>IF(OR(A589="",I589=""),"",IF(SUMIFS($I$8:$I$657,$A$8:$A$657,A589)=0,"",I589*SUMIFS('Facturas y gastos'!$D$10:$D$13,'Facturas y gastos'!$A$10:$A$13,A589)/SUMIFS($I$8:$I$657,$A$8:$A$657,A589)))</f>
        <v/>
      </c>
      <c r="K589" s="8" t="str">
        <f>IF(J589="","",IF(SUMIFS('Facturas y gastos'!$D$10:$D$13,'Facturas y gastos'!$A$10:$A$13,A589)=0,"",J589*SUMIFS('Facturas y gastos'!$G$10:$G$13,'Facturas y gastos'!$A$10:$A$13,A589)/SUMIFS('Facturas y gastos'!$D$10:$D$13,'Facturas y gastos'!$A$10:$A$13,A589)))</f>
        <v/>
      </c>
      <c r="L589" s="8" t="str">
        <f>IF(J589="","",IF(SUMIFS('Facturas y gastos'!$D$10:$D$13,'Facturas y gastos'!$A$10:$A$13,A589)=0,"",J589*SUMIFS('Facturas y gastos'!$H$10:$H$13,'Facturas y gastos'!$A$10:$A$13,A589)/SUMIFS('Facturas y gastos'!$D$10:$D$13,'Facturas y gastos'!$A$10:$A$13,A589)))</f>
        <v/>
      </c>
      <c r="M589" s="8" t="str">
        <f>IF(J589="","",IF(SUMIFS('Facturas y gastos'!$D$10:$D$13,'Facturas y gastos'!$A$10:$A$13,A589)=0,"",J589*SUMIFS('Facturas y gastos'!$I$10:$I$13,'Facturas y gastos'!$A$10:$A$13,A589)/SUMIFS('Facturas y gastos'!$D$10:$D$13,'Facturas y gastos'!$A$10:$A$13,A589)))</f>
        <v/>
      </c>
      <c r="N589" s="8" t="str">
        <f>IF(J589="","",IF(SUMIFS('Facturas y gastos'!$D$10:$D$13,'Facturas y gastos'!$A$10:$A$13,A589)=0,"",J589*SUMIFS('Facturas y gastos'!$J$10:$J$13,'Facturas y gastos'!$A$10:$A$13,A589)/SUMIFS('Facturas y gastos'!$D$10:$D$13,'Facturas y gastos'!$A$10:$A$13,A589)))</f>
        <v/>
      </c>
      <c r="O589" s="8" t="str">
        <f t="shared" si="18"/>
        <v/>
      </c>
      <c r="P589" s="8" t="str">
        <f>IF(OR(O589="",'Facturas y gastos'!$B$24="",'Facturas y gastos'!$B$45&lt;&gt;"OK",SUM($O$8:$O$657)=0),"",O589*'Facturas y gastos'!$B$43/SUM($O$8:$O$657))</f>
        <v/>
      </c>
      <c r="Q589" s="8" t="str">
        <f>IF(OR(O589="",'Facturas y gastos'!$B$5="",P589=""),"",O589*'Facturas y gastos'!$B$5+P589)</f>
        <v/>
      </c>
      <c r="R589" s="8" t="str">
        <f t="shared" si="19"/>
        <v/>
      </c>
    </row>
    <row r="590" spans="1:18">
      <c r="A590" s="20"/>
      <c r="B590" s="20"/>
      <c r="C590" s="20"/>
      <c r="D590" s="20"/>
      <c r="E590" s="20"/>
      <c r="F590" s="30"/>
      <c r="G590" s="30"/>
      <c r="H590" s="21"/>
      <c r="I590" s="21"/>
      <c r="J590" s="8" t="str">
        <f>IF(OR(A590="",I590=""),"",IF(SUMIFS($I$8:$I$657,$A$8:$A$657,A590)=0,"",I590*SUMIFS('Facturas y gastos'!$D$10:$D$13,'Facturas y gastos'!$A$10:$A$13,A590)/SUMIFS($I$8:$I$657,$A$8:$A$657,A590)))</f>
        <v/>
      </c>
      <c r="K590" s="8" t="str">
        <f>IF(J590="","",IF(SUMIFS('Facturas y gastos'!$D$10:$D$13,'Facturas y gastos'!$A$10:$A$13,A590)=0,"",J590*SUMIFS('Facturas y gastos'!$G$10:$G$13,'Facturas y gastos'!$A$10:$A$13,A590)/SUMIFS('Facturas y gastos'!$D$10:$D$13,'Facturas y gastos'!$A$10:$A$13,A590)))</f>
        <v/>
      </c>
      <c r="L590" s="8" t="str">
        <f>IF(J590="","",IF(SUMIFS('Facturas y gastos'!$D$10:$D$13,'Facturas y gastos'!$A$10:$A$13,A590)=0,"",J590*SUMIFS('Facturas y gastos'!$H$10:$H$13,'Facturas y gastos'!$A$10:$A$13,A590)/SUMIFS('Facturas y gastos'!$D$10:$D$13,'Facturas y gastos'!$A$10:$A$13,A590)))</f>
        <v/>
      </c>
      <c r="M590" s="8" t="str">
        <f>IF(J590="","",IF(SUMIFS('Facturas y gastos'!$D$10:$D$13,'Facturas y gastos'!$A$10:$A$13,A590)=0,"",J590*SUMIFS('Facturas y gastos'!$I$10:$I$13,'Facturas y gastos'!$A$10:$A$13,A590)/SUMIFS('Facturas y gastos'!$D$10:$D$13,'Facturas y gastos'!$A$10:$A$13,A590)))</f>
        <v/>
      </c>
      <c r="N590" s="8" t="str">
        <f>IF(J590="","",IF(SUMIFS('Facturas y gastos'!$D$10:$D$13,'Facturas y gastos'!$A$10:$A$13,A590)=0,"",J590*SUMIFS('Facturas y gastos'!$J$10:$J$13,'Facturas y gastos'!$A$10:$A$13,A590)/SUMIFS('Facturas y gastos'!$D$10:$D$13,'Facturas y gastos'!$A$10:$A$13,A590)))</f>
        <v/>
      </c>
      <c r="O590" s="8" t="str">
        <f t="shared" si="18"/>
        <v/>
      </c>
      <c r="P590" s="8" t="str">
        <f>IF(OR(O590="",'Facturas y gastos'!$B$24="",'Facturas y gastos'!$B$45&lt;&gt;"OK",SUM($O$8:$O$657)=0),"",O590*'Facturas y gastos'!$B$43/SUM($O$8:$O$657))</f>
        <v/>
      </c>
      <c r="Q590" s="8" t="str">
        <f>IF(OR(O590="",'Facturas y gastos'!$B$5="",P590=""),"",O590*'Facturas y gastos'!$B$5+P590)</f>
        <v/>
      </c>
      <c r="R590" s="8" t="str">
        <f t="shared" si="19"/>
        <v/>
      </c>
    </row>
    <row r="591" spans="1:18">
      <c r="A591" s="20"/>
      <c r="B591" s="20"/>
      <c r="C591" s="20"/>
      <c r="D591" s="20"/>
      <c r="E591" s="20"/>
      <c r="F591" s="30"/>
      <c r="G591" s="30"/>
      <c r="H591" s="21"/>
      <c r="I591" s="21"/>
      <c r="J591" s="8" t="str">
        <f>IF(OR(A591="",I591=""),"",IF(SUMIFS($I$8:$I$657,$A$8:$A$657,A591)=0,"",I591*SUMIFS('Facturas y gastos'!$D$10:$D$13,'Facturas y gastos'!$A$10:$A$13,A591)/SUMIFS($I$8:$I$657,$A$8:$A$657,A591)))</f>
        <v/>
      </c>
      <c r="K591" s="8" t="str">
        <f>IF(J591="","",IF(SUMIFS('Facturas y gastos'!$D$10:$D$13,'Facturas y gastos'!$A$10:$A$13,A591)=0,"",J591*SUMIFS('Facturas y gastos'!$G$10:$G$13,'Facturas y gastos'!$A$10:$A$13,A591)/SUMIFS('Facturas y gastos'!$D$10:$D$13,'Facturas y gastos'!$A$10:$A$13,A591)))</f>
        <v/>
      </c>
      <c r="L591" s="8" t="str">
        <f>IF(J591="","",IF(SUMIFS('Facturas y gastos'!$D$10:$D$13,'Facturas y gastos'!$A$10:$A$13,A591)=0,"",J591*SUMIFS('Facturas y gastos'!$H$10:$H$13,'Facturas y gastos'!$A$10:$A$13,A591)/SUMIFS('Facturas y gastos'!$D$10:$D$13,'Facturas y gastos'!$A$10:$A$13,A591)))</f>
        <v/>
      </c>
      <c r="M591" s="8" t="str">
        <f>IF(J591="","",IF(SUMIFS('Facturas y gastos'!$D$10:$D$13,'Facturas y gastos'!$A$10:$A$13,A591)=0,"",J591*SUMIFS('Facturas y gastos'!$I$10:$I$13,'Facturas y gastos'!$A$10:$A$13,A591)/SUMIFS('Facturas y gastos'!$D$10:$D$13,'Facturas y gastos'!$A$10:$A$13,A591)))</f>
        <v/>
      </c>
      <c r="N591" s="8" t="str">
        <f>IF(J591="","",IF(SUMIFS('Facturas y gastos'!$D$10:$D$13,'Facturas y gastos'!$A$10:$A$13,A591)=0,"",J591*SUMIFS('Facturas y gastos'!$J$10:$J$13,'Facturas y gastos'!$A$10:$A$13,A591)/SUMIFS('Facturas y gastos'!$D$10:$D$13,'Facturas y gastos'!$A$10:$A$13,A591)))</f>
        <v/>
      </c>
      <c r="O591" s="8" t="str">
        <f t="shared" si="18"/>
        <v/>
      </c>
      <c r="P591" s="8" t="str">
        <f>IF(OR(O591="",'Facturas y gastos'!$B$24="",'Facturas y gastos'!$B$45&lt;&gt;"OK",SUM($O$8:$O$657)=0),"",O591*'Facturas y gastos'!$B$43/SUM($O$8:$O$657))</f>
        <v/>
      </c>
      <c r="Q591" s="8" t="str">
        <f>IF(OR(O591="",'Facturas y gastos'!$B$5="",P591=""),"",O591*'Facturas y gastos'!$B$5+P591)</f>
        <v/>
      </c>
      <c r="R591" s="8" t="str">
        <f t="shared" si="19"/>
        <v/>
      </c>
    </row>
    <row r="592" spans="1:18">
      <c r="A592" s="20"/>
      <c r="B592" s="20"/>
      <c r="C592" s="20"/>
      <c r="D592" s="20"/>
      <c r="E592" s="20"/>
      <c r="F592" s="30"/>
      <c r="G592" s="30"/>
      <c r="H592" s="21"/>
      <c r="I592" s="21"/>
      <c r="J592" s="8" t="str">
        <f>IF(OR(A592="",I592=""),"",IF(SUMIFS($I$8:$I$657,$A$8:$A$657,A592)=0,"",I592*SUMIFS('Facturas y gastos'!$D$10:$D$13,'Facturas y gastos'!$A$10:$A$13,A592)/SUMIFS($I$8:$I$657,$A$8:$A$657,A592)))</f>
        <v/>
      </c>
      <c r="K592" s="8" t="str">
        <f>IF(J592="","",IF(SUMIFS('Facturas y gastos'!$D$10:$D$13,'Facturas y gastos'!$A$10:$A$13,A592)=0,"",J592*SUMIFS('Facturas y gastos'!$G$10:$G$13,'Facturas y gastos'!$A$10:$A$13,A592)/SUMIFS('Facturas y gastos'!$D$10:$D$13,'Facturas y gastos'!$A$10:$A$13,A592)))</f>
        <v/>
      </c>
      <c r="L592" s="8" t="str">
        <f>IF(J592="","",IF(SUMIFS('Facturas y gastos'!$D$10:$D$13,'Facturas y gastos'!$A$10:$A$13,A592)=0,"",J592*SUMIFS('Facturas y gastos'!$H$10:$H$13,'Facturas y gastos'!$A$10:$A$13,A592)/SUMIFS('Facturas y gastos'!$D$10:$D$13,'Facturas y gastos'!$A$10:$A$13,A592)))</f>
        <v/>
      </c>
      <c r="M592" s="8" t="str">
        <f>IF(J592="","",IF(SUMIFS('Facturas y gastos'!$D$10:$D$13,'Facturas y gastos'!$A$10:$A$13,A592)=0,"",J592*SUMIFS('Facturas y gastos'!$I$10:$I$13,'Facturas y gastos'!$A$10:$A$13,A592)/SUMIFS('Facturas y gastos'!$D$10:$D$13,'Facturas y gastos'!$A$10:$A$13,A592)))</f>
        <v/>
      </c>
      <c r="N592" s="8" t="str">
        <f>IF(J592="","",IF(SUMIFS('Facturas y gastos'!$D$10:$D$13,'Facturas y gastos'!$A$10:$A$13,A592)=0,"",J592*SUMIFS('Facturas y gastos'!$J$10:$J$13,'Facturas y gastos'!$A$10:$A$13,A592)/SUMIFS('Facturas y gastos'!$D$10:$D$13,'Facturas y gastos'!$A$10:$A$13,A592)))</f>
        <v/>
      </c>
      <c r="O592" s="8" t="str">
        <f t="shared" si="18"/>
        <v/>
      </c>
      <c r="P592" s="8" t="str">
        <f>IF(OR(O592="",'Facturas y gastos'!$B$24="",'Facturas y gastos'!$B$45&lt;&gt;"OK",SUM($O$8:$O$657)=0),"",O592*'Facturas y gastos'!$B$43/SUM($O$8:$O$657))</f>
        <v/>
      </c>
      <c r="Q592" s="8" t="str">
        <f>IF(OR(O592="",'Facturas y gastos'!$B$5="",P592=""),"",O592*'Facturas y gastos'!$B$5+P592)</f>
        <v/>
      </c>
      <c r="R592" s="8" t="str">
        <f t="shared" si="19"/>
        <v/>
      </c>
    </row>
    <row r="593" spans="1:18">
      <c r="A593" s="20"/>
      <c r="B593" s="20"/>
      <c r="C593" s="20"/>
      <c r="D593" s="20"/>
      <c r="E593" s="20"/>
      <c r="F593" s="30"/>
      <c r="G593" s="30"/>
      <c r="H593" s="21"/>
      <c r="I593" s="21"/>
      <c r="J593" s="8" t="str">
        <f>IF(OR(A593="",I593=""),"",IF(SUMIFS($I$8:$I$657,$A$8:$A$657,A593)=0,"",I593*SUMIFS('Facturas y gastos'!$D$10:$D$13,'Facturas y gastos'!$A$10:$A$13,A593)/SUMIFS($I$8:$I$657,$A$8:$A$657,A593)))</f>
        <v/>
      </c>
      <c r="K593" s="8" t="str">
        <f>IF(J593="","",IF(SUMIFS('Facturas y gastos'!$D$10:$D$13,'Facturas y gastos'!$A$10:$A$13,A593)=0,"",J593*SUMIFS('Facturas y gastos'!$G$10:$G$13,'Facturas y gastos'!$A$10:$A$13,A593)/SUMIFS('Facturas y gastos'!$D$10:$D$13,'Facturas y gastos'!$A$10:$A$13,A593)))</f>
        <v/>
      </c>
      <c r="L593" s="8" t="str">
        <f>IF(J593="","",IF(SUMIFS('Facturas y gastos'!$D$10:$D$13,'Facturas y gastos'!$A$10:$A$13,A593)=0,"",J593*SUMIFS('Facturas y gastos'!$H$10:$H$13,'Facturas y gastos'!$A$10:$A$13,A593)/SUMIFS('Facturas y gastos'!$D$10:$D$13,'Facturas y gastos'!$A$10:$A$13,A593)))</f>
        <v/>
      </c>
      <c r="M593" s="8" t="str">
        <f>IF(J593="","",IF(SUMIFS('Facturas y gastos'!$D$10:$D$13,'Facturas y gastos'!$A$10:$A$13,A593)=0,"",J593*SUMIFS('Facturas y gastos'!$I$10:$I$13,'Facturas y gastos'!$A$10:$A$13,A593)/SUMIFS('Facturas y gastos'!$D$10:$D$13,'Facturas y gastos'!$A$10:$A$13,A593)))</f>
        <v/>
      </c>
      <c r="N593" s="8" t="str">
        <f>IF(J593="","",IF(SUMIFS('Facturas y gastos'!$D$10:$D$13,'Facturas y gastos'!$A$10:$A$13,A593)=0,"",J593*SUMIFS('Facturas y gastos'!$J$10:$J$13,'Facturas y gastos'!$A$10:$A$13,A593)/SUMIFS('Facturas y gastos'!$D$10:$D$13,'Facturas y gastos'!$A$10:$A$13,A593)))</f>
        <v/>
      </c>
      <c r="O593" s="8" t="str">
        <f t="shared" si="18"/>
        <v/>
      </c>
      <c r="P593" s="8" t="str">
        <f>IF(OR(O593="",'Facturas y gastos'!$B$24="",'Facturas y gastos'!$B$45&lt;&gt;"OK",SUM($O$8:$O$657)=0),"",O593*'Facturas y gastos'!$B$43/SUM($O$8:$O$657))</f>
        <v/>
      </c>
      <c r="Q593" s="8" t="str">
        <f>IF(OR(O593="",'Facturas y gastos'!$B$5="",P593=""),"",O593*'Facturas y gastos'!$B$5+P593)</f>
        <v/>
      </c>
      <c r="R593" s="8" t="str">
        <f t="shared" si="19"/>
        <v/>
      </c>
    </row>
    <row r="594" spans="1:18">
      <c r="A594" s="20"/>
      <c r="B594" s="20"/>
      <c r="C594" s="20"/>
      <c r="D594" s="20"/>
      <c r="E594" s="20"/>
      <c r="F594" s="30"/>
      <c r="G594" s="30"/>
      <c r="H594" s="21"/>
      <c r="I594" s="21"/>
      <c r="J594" s="8" t="str">
        <f>IF(OR(A594="",I594=""),"",IF(SUMIFS($I$8:$I$657,$A$8:$A$657,A594)=0,"",I594*SUMIFS('Facturas y gastos'!$D$10:$D$13,'Facturas y gastos'!$A$10:$A$13,A594)/SUMIFS($I$8:$I$657,$A$8:$A$657,A594)))</f>
        <v/>
      </c>
      <c r="K594" s="8" t="str">
        <f>IF(J594="","",IF(SUMIFS('Facturas y gastos'!$D$10:$D$13,'Facturas y gastos'!$A$10:$A$13,A594)=0,"",J594*SUMIFS('Facturas y gastos'!$G$10:$G$13,'Facturas y gastos'!$A$10:$A$13,A594)/SUMIFS('Facturas y gastos'!$D$10:$D$13,'Facturas y gastos'!$A$10:$A$13,A594)))</f>
        <v/>
      </c>
      <c r="L594" s="8" t="str">
        <f>IF(J594="","",IF(SUMIFS('Facturas y gastos'!$D$10:$D$13,'Facturas y gastos'!$A$10:$A$13,A594)=0,"",J594*SUMIFS('Facturas y gastos'!$H$10:$H$13,'Facturas y gastos'!$A$10:$A$13,A594)/SUMIFS('Facturas y gastos'!$D$10:$D$13,'Facturas y gastos'!$A$10:$A$13,A594)))</f>
        <v/>
      </c>
      <c r="M594" s="8" t="str">
        <f>IF(J594="","",IF(SUMIFS('Facturas y gastos'!$D$10:$D$13,'Facturas y gastos'!$A$10:$A$13,A594)=0,"",J594*SUMIFS('Facturas y gastos'!$I$10:$I$13,'Facturas y gastos'!$A$10:$A$13,A594)/SUMIFS('Facturas y gastos'!$D$10:$D$13,'Facturas y gastos'!$A$10:$A$13,A594)))</f>
        <v/>
      </c>
      <c r="N594" s="8" t="str">
        <f>IF(J594="","",IF(SUMIFS('Facturas y gastos'!$D$10:$D$13,'Facturas y gastos'!$A$10:$A$13,A594)=0,"",J594*SUMIFS('Facturas y gastos'!$J$10:$J$13,'Facturas y gastos'!$A$10:$A$13,A594)/SUMIFS('Facturas y gastos'!$D$10:$D$13,'Facturas y gastos'!$A$10:$A$13,A594)))</f>
        <v/>
      </c>
      <c r="O594" s="8" t="str">
        <f t="shared" si="18"/>
        <v/>
      </c>
      <c r="P594" s="8" t="str">
        <f>IF(OR(O594="",'Facturas y gastos'!$B$24="",'Facturas y gastos'!$B$45&lt;&gt;"OK",SUM($O$8:$O$657)=0),"",O594*'Facturas y gastos'!$B$43/SUM($O$8:$O$657))</f>
        <v/>
      </c>
      <c r="Q594" s="8" t="str">
        <f>IF(OR(O594="",'Facturas y gastos'!$B$5="",P594=""),"",O594*'Facturas y gastos'!$B$5+P594)</f>
        <v/>
      </c>
      <c r="R594" s="8" t="str">
        <f t="shared" si="19"/>
        <v/>
      </c>
    </row>
    <row r="595" spans="1:18">
      <c r="A595" s="20"/>
      <c r="B595" s="20"/>
      <c r="C595" s="20"/>
      <c r="D595" s="20"/>
      <c r="E595" s="20"/>
      <c r="F595" s="30"/>
      <c r="G595" s="30"/>
      <c r="H595" s="21"/>
      <c r="I595" s="21"/>
      <c r="J595" s="8" t="str">
        <f>IF(OR(A595="",I595=""),"",IF(SUMIFS($I$8:$I$657,$A$8:$A$657,A595)=0,"",I595*SUMIFS('Facturas y gastos'!$D$10:$D$13,'Facturas y gastos'!$A$10:$A$13,A595)/SUMIFS($I$8:$I$657,$A$8:$A$657,A595)))</f>
        <v/>
      </c>
      <c r="K595" s="8" t="str">
        <f>IF(J595="","",IF(SUMIFS('Facturas y gastos'!$D$10:$D$13,'Facturas y gastos'!$A$10:$A$13,A595)=0,"",J595*SUMIFS('Facturas y gastos'!$G$10:$G$13,'Facturas y gastos'!$A$10:$A$13,A595)/SUMIFS('Facturas y gastos'!$D$10:$D$13,'Facturas y gastos'!$A$10:$A$13,A595)))</f>
        <v/>
      </c>
      <c r="L595" s="8" t="str">
        <f>IF(J595="","",IF(SUMIFS('Facturas y gastos'!$D$10:$D$13,'Facturas y gastos'!$A$10:$A$13,A595)=0,"",J595*SUMIFS('Facturas y gastos'!$H$10:$H$13,'Facturas y gastos'!$A$10:$A$13,A595)/SUMIFS('Facturas y gastos'!$D$10:$D$13,'Facturas y gastos'!$A$10:$A$13,A595)))</f>
        <v/>
      </c>
      <c r="M595" s="8" t="str">
        <f>IF(J595="","",IF(SUMIFS('Facturas y gastos'!$D$10:$D$13,'Facturas y gastos'!$A$10:$A$13,A595)=0,"",J595*SUMIFS('Facturas y gastos'!$I$10:$I$13,'Facturas y gastos'!$A$10:$A$13,A595)/SUMIFS('Facturas y gastos'!$D$10:$D$13,'Facturas y gastos'!$A$10:$A$13,A595)))</f>
        <v/>
      </c>
      <c r="N595" s="8" t="str">
        <f>IF(J595="","",IF(SUMIFS('Facturas y gastos'!$D$10:$D$13,'Facturas y gastos'!$A$10:$A$13,A595)=0,"",J595*SUMIFS('Facturas y gastos'!$J$10:$J$13,'Facturas y gastos'!$A$10:$A$13,A595)/SUMIFS('Facturas y gastos'!$D$10:$D$13,'Facturas y gastos'!$A$10:$A$13,A595)))</f>
        <v/>
      </c>
      <c r="O595" s="8" t="str">
        <f t="shared" si="18"/>
        <v/>
      </c>
      <c r="P595" s="8" t="str">
        <f>IF(OR(O595="",'Facturas y gastos'!$B$24="",'Facturas y gastos'!$B$45&lt;&gt;"OK",SUM($O$8:$O$657)=0),"",O595*'Facturas y gastos'!$B$43/SUM($O$8:$O$657))</f>
        <v/>
      </c>
      <c r="Q595" s="8" t="str">
        <f>IF(OR(O595="",'Facturas y gastos'!$B$5="",P595=""),"",O595*'Facturas y gastos'!$B$5+P595)</f>
        <v/>
      </c>
      <c r="R595" s="8" t="str">
        <f t="shared" si="19"/>
        <v/>
      </c>
    </row>
    <row r="596" spans="1:18">
      <c r="A596" s="20"/>
      <c r="B596" s="20"/>
      <c r="C596" s="20"/>
      <c r="D596" s="20"/>
      <c r="E596" s="20"/>
      <c r="F596" s="30"/>
      <c r="G596" s="30"/>
      <c r="H596" s="21"/>
      <c r="I596" s="21"/>
      <c r="J596" s="8" t="str">
        <f>IF(OR(A596="",I596=""),"",IF(SUMIFS($I$8:$I$657,$A$8:$A$657,A596)=0,"",I596*SUMIFS('Facturas y gastos'!$D$10:$D$13,'Facturas y gastos'!$A$10:$A$13,A596)/SUMIFS($I$8:$I$657,$A$8:$A$657,A596)))</f>
        <v/>
      </c>
      <c r="K596" s="8" t="str">
        <f>IF(J596="","",IF(SUMIFS('Facturas y gastos'!$D$10:$D$13,'Facturas y gastos'!$A$10:$A$13,A596)=0,"",J596*SUMIFS('Facturas y gastos'!$G$10:$G$13,'Facturas y gastos'!$A$10:$A$13,A596)/SUMIFS('Facturas y gastos'!$D$10:$D$13,'Facturas y gastos'!$A$10:$A$13,A596)))</f>
        <v/>
      </c>
      <c r="L596" s="8" t="str">
        <f>IF(J596="","",IF(SUMIFS('Facturas y gastos'!$D$10:$D$13,'Facturas y gastos'!$A$10:$A$13,A596)=0,"",J596*SUMIFS('Facturas y gastos'!$H$10:$H$13,'Facturas y gastos'!$A$10:$A$13,A596)/SUMIFS('Facturas y gastos'!$D$10:$D$13,'Facturas y gastos'!$A$10:$A$13,A596)))</f>
        <v/>
      </c>
      <c r="M596" s="8" t="str">
        <f>IF(J596="","",IF(SUMIFS('Facturas y gastos'!$D$10:$D$13,'Facturas y gastos'!$A$10:$A$13,A596)=0,"",J596*SUMIFS('Facturas y gastos'!$I$10:$I$13,'Facturas y gastos'!$A$10:$A$13,A596)/SUMIFS('Facturas y gastos'!$D$10:$D$13,'Facturas y gastos'!$A$10:$A$13,A596)))</f>
        <v/>
      </c>
      <c r="N596" s="8" t="str">
        <f>IF(J596="","",IF(SUMIFS('Facturas y gastos'!$D$10:$D$13,'Facturas y gastos'!$A$10:$A$13,A596)=0,"",J596*SUMIFS('Facturas y gastos'!$J$10:$J$13,'Facturas y gastos'!$A$10:$A$13,A596)/SUMIFS('Facturas y gastos'!$D$10:$D$13,'Facturas y gastos'!$A$10:$A$13,A596)))</f>
        <v/>
      </c>
      <c r="O596" s="8" t="str">
        <f t="shared" si="18"/>
        <v/>
      </c>
      <c r="P596" s="8" t="str">
        <f>IF(OR(O596="",'Facturas y gastos'!$B$24="",'Facturas y gastos'!$B$45&lt;&gt;"OK",SUM($O$8:$O$657)=0),"",O596*'Facturas y gastos'!$B$43/SUM($O$8:$O$657))</f>
        <v/>
      </c>
      <c r="Q596" s="8" t="str">
        <f>IF(OR(O596="",'Facturas y gastos'!$B$5="",P596=""),"",O596*'Facturas y gastos'!$B$5+P596)</f>
        <v/>
      </c>
      <c r="R596" s="8" t="str">
        <f t="shared" si="19"/>
        <v/>
      </c>
    </row>
    <row r="597" spans="1:18">
      <c r="A597" s="20"/>
      <c r="B597" s="20"/>
      <c r="C597" s="20"/>
      <c r="D597" s="20"/>
      <c r="E597" s="20"/>
      <c r="F597" s="30"/>
      <c r="G597" s="30"/>
      <c r="H597" s="21"/>
      <c r="I597" s="21"/>
      <c r="J597" s="8" t="str">
        <f>IF(OR(A597="",I597=""),"",IF(SUMIFS($I$8:$I$657,$A$8:$A$657,A597)=0,"",I597*SUMIFS('Facturas y gastos'!$D$10:$D$13,'Facturas y gastos'!$A$10:$A$13,A597)/SUMIFS($I$8:$I$657,$A$8:$A$657,A597)))</f>
        <v/>
      </c>
      <c r="K597" s="8" t="str">
        <f>IF(J597="","",IF(SUMIFS('Facturas y gastos'!$D$10:$D$13,'Facturas y gastos'!$A$10:$A$13,A597)=0,"",J597*SUMIFS('Facturas y gastos'!$G$10:$G$13,'Facturas y gastos'!$A$10:$A$13,A597)/SUMIFS('Facturas y gastos'!$D$10:$D$13,'Facturas y gastos'!$A$10:$A$13,A597)))</f>
        <v/>
      </c>
      <c r="L597" s="8" t="str">
        <f>IF(J597="","",IF(SUMIFS('Facturas y gastos'!$D$10:$D$13,'Facturas y gastos'!$A$10:$A$13,A597)=0,"",J597*SUMIFS('Facturas y gastos'!$H$10:$H$13,'Facturas y gastos'!$A$10:$A$13,A597)/SUMIFS('Facturas y gastos'!$D$10:$D$13,'Facturas y gastos'!$A$10:$A$13,A597)))</f>
        <v/>
      </c>
      <c r="M597" s="8" t="str">
        <f>IF(J597="","",IF(SUMIFS('Facturas y gastos'!$D$10:$D$13,'Facturas y gastos'!$A$10:$A$13,A597)=0,"",J597*SUMIFS('Facturas y gastos'!$I$10:$I$13,'Facturas y gastos'!$A$10:$A$13,A597)/SUMIFS('Facturas y gastos'!$D$10:$D$13,'Facturas y gastos'!$A$10:$A$13,A597)))</f>
        <v/>
      </c>
      <c r="N597" s="8" t="str">
        <f>IF(J597="","",IF(SUMIFS('Facturas y gastos'!$D$10:$D$13,'Facturas y gastos'!$A$10:$A$13,A597)=0,"",J597*SUMIFS('Facturas y gastos'!$J$10:$J$13,'Facturas y gastos'!$A$10:$A$13,A597)/SUMIFS('Facturas y gastos'!$D$10:$D$13,'Facturas y gastos'!$A$10:$A$13,A597)))</f>
        <v/>
      </c>
      <c r="O597" s="8" t="str">
        <f t="shared" si="18"/>
        <v/>
      </c>
      <c r="P597" s="8" t="str">
        <f>IF(OR(O597="",'Facturas y gastos'!$B$24="",'Facturas y gastos'!$B$45&lt;&gt;"OK",SUM($O$8:$O$657)=0),"",O597*'Facturas y gastos'!$B$43/SUM($O$8:$O$657))</f>
        <v/>
      </c>
      <c r="Q597" s="8" t="str">
        <f>IF(OR(O597="",'Facturas y gastos'!$B$5="",P597=""),"",O597*'Facturas y gastos'!$B$5+P597)</f>
        <v/>
      </c>
      <c r="R597" s="8" t="str">
        <f t="shared" si="19"/>
        <v/>
      </c>
    </row>
    <row r="598" spans="1:18">
      <c r="A598" s="20"/>
      <c r="B598" s="20"/>
      <c r="C598" s="20"/>
      <c r="D598" s="20"/>
      <c r="E598" s="20"/>
      <c r="F598" s="30"/>
      <c r="G598" s="30"/>
      <c r="H598" s="21"/>
      <c r="I598" s="21"/>
      <c r="J598" s="8" t="str">
        <f>IF(OR(A598="",I598=""),"",IF(SUMIFS($I$8:$I$657,$A$8:$A$657,A598)=0,"",I598*SUMIFS('Facturas y gastos'!$D$10:$D$13,'Facturas y gastos'!$A$10:$A$13,A598)/SUMIFS($I$8:$I$657,$A$8:$A$657,A598)))</f>
        <v/>
      </c>
      <c r="K598" s="8" t="str">
        <f>IF(J598="","",IF(SUMIFS('Facturas y gastos'!$D$10:$D$13,'Facturas y gastos'!$A$10:$A$13,A598)=0,"",J598*SUMIFS('Facturas y gastos'!$G$10:$G$13,'Facturas y gastos'!$A$10:$A$13,A598)/SUMIFS('Facturas y gastos'!$D$10:$D$13,'Facturas y gastos'!$A$10:$A$13,A598)))</f>
        <v/>
      </c>
      <c r="L598" s="8" t="str">
        <f>IF(J598="","",IF(SUMIFS('Facturas y gastos'!$D$10:$D$13,'Facturas y gastos'!$A$10:$A$13,A598)=0,"",J598*SUMIFS('Facturas y gastos'!$H$10:$H$13,'Facturas y gastos'!$A$10:$A$13,A598)/SUMIFS('Facturas y gastos'!$D$10:$D$13,'Facturas y gastos'!$A$10:$A$13,A598)))</f>
        <v/>
      </c>
      <c r="M598" s="8" t="str">
        <f>IF(J598="","",IF(SUMIFS('Facturas y gastos'!$D$10:$D$13,'Facturas y gastos'!$A$10:$A$13,A598)=0,"",J598*SUMIFS('Facturas y gastos'!$I$10:$I$13,'Facturas y gastos'!$A$10:$A$13,A598)/SUMIFS('Facturas y gastos'!$D$10:$D$13,'Facturas y gastos'!$A$10:$A$13,A598)))</f>
        <v/>
      </c>
      <c r="N598" s="8" t="str">
        <f>IF(J598="","",IF(SUMIFS('Facturas y gastos'!$D$10:$D$13,'Facturas y gastos'!$A$10:$A$13,A598)=0,"",J598*SUMIFS('Facturas y gastos'!$J$10:$J$13,'Facturas y gastos'!$A$10:$A$13,A598)/SUMIFS('Facturas y gastos'!$D$10:$D$13,'Facturas y gastos'!$A$10:$A$13,A598)))</f>
        <v/>
      </c>
      <c r="O598" s="8" t="str">
        <f t="shared" si="18"/>
        <v/>
      </c>
      <c r="P598" s="8" t="str">
        <f>IF(OR(O598="",'Facturas y gastos'!$B$24="",'Facturas y gastos'!$B$45&lt;&gt;"OK",SUM($O$8:$O$657)=0),"",O598*'Facturas y gastos'!$B$43/SUM($O$8:$O$657))</f>
        <v/>
      </c>
      <c r="Q598" s="8" t="str">
        <f>IF(OR(O598="",'Facturas y gastos'!$B$5="",P598=""),"",O598*'Facturas y gastos'!$B$5+P598)</f>
        <v/>
      </c>
      <c r="R598" s="8" t="str">
        <f t="shared" si="19"/>
        <v/>
      </c>
    </row>
    <row r="599" spans="1:18">
      <c r="A599" s="20"/>
      <c r="B599" s="20"/>
      <c r="C599" s="20"/>
      <c r="D599" s="20"/>
      <c r="E599" s="20"/>
      <c r="F599" s="30"/>
      <c r="G599" s="30"/>
      <c r="H599" s="21"/>
      <c r="I599" s="21"/>
      <c r="J599" s="8" t="str">
        <f>IF(OR(A599="",I599=""),"",IF(SUMIFS($I$8:$I$657,$A$8:$A$657,A599)=0,"",I599*SUMIFS('Facturas y gastos'!$D$10:$D$13,'Facturas y gastos'!$A$10:$A$13,A599)/SUMIFS($I$8:$I$657,$A$8:$A$657,A599)))</f>
        <v/>
      </c>
      <c r="K599" s="8" t="str">
        <f>IF(J599="","",IF(SUMIFS('Facturas y gastos'!$D$10:$D$13,'Facturas y gastos'!$A$10:$A$13,A599)=0,"",J599*SUMIFS('Facturas y gastos'!$G$10:$G$13,'Facturas y gastos'!$A$10:$A$13,A599)/SUMIFS('Facturas y gastos'!$D$10:$D$13,'Facturas y gastos'!$A$10:$A$13,A599)))</f>
        <v/>
      </c>
      <c r="L599" s="8" t="str">
        <f>IF(J599="","",IF(SUMIFS('Facturas y gastos'!$D$10:$D$13,'Facturas y gastos'!$A$10:$A$13,A599)=0,"",J599*SUMIFS('Facturas y gastos'!$H$10:$H$13,'Facturas y gastos'!$A$10:$A$13,A599)/SUMIFS('Facturas y gastos'!$D$10:$D$13,'Facturas y gastos'!$A$10:$A$13,A599)))</f>
        <v/>
      </c>
      <c r="M599" s="8" t="str">
        <f>IF(J599="","",IF(SUMIFS('Facturas y gastos'!$D$10:$D$13,'Facturas y gastos'!$A$10:$A$13,A599)=0,"",J599*SUMIFS('Facturas y gastos'!$I$10:$I$13,'Facturas y gastos'!$A$10:$A$13,A599)/SUMIFS('Facturas y gastos'!$D$10:$D$13,'Facturas y gastos'!$A$10:$A$13,A599)))</f>
        <v/>
      </c>
      <c r="N599" s="8" t="str">
        <f>IF(J599="","",IF(SUMIFS('Facturas y gastos'!$D$10:$D$13,'Facturas y gastos'!$A$10:$A$13,A599)=0,"",J599*SUMIFS('Facturas y gastos'!$J$10:$J$13,'Facturas y gastos'!$A$10:$A$13,A599)/SUMIFS('Facturas y gastos'!$D$10:$D$13,'Facturas y gastos'!$A$10:$A$13,A599)))</f>
        <v/>
      </c>
      <c r="O599" s="8" t="str">
        <f t="shared" si="18"/>
        <v/>
      </c>
      <c r="P599" s="8" t="str">
        <f>IF(OR(O599="",'Facturas y gastos'!$B$24="",'Facturas y gastos'!$B$45&lt;&gt;"OK",SUM($O$8:$O$657)=0),"",O599*'Facturas y gastos'!$B$43/SUM($O$8:$O$657))</f>
        <v/>
      </c>
      <c r="Q599" s="8" t="str">
        <f>IF(OR(O599="",'Facturas y gastos'!$B$5="",P599=""),"",O599*'Facturas y gastos'!$B$5+P599)</f>
        <v/>
      </c>
      <c r="R599" s="8" t="str">
        <f t="shared" si="19"/>
        <v/>
      </c>
    </row>
    <row r="600" spans="1:18">
      <c r="A600" s="20"/>
      <c r="B600" s="20"/>
      <c r="C600" s="20"/>
      <c r="D600" s="20"/>
      <c r="E600" s="20"/>
      <c r="F600" s="30"/>
      <c r="G600" s="30"/>
      <c r="H600" s="21"/>
      <c r="I600" s="21"/>
      <c r="J600" s="8" t="str">
        <f>IF(OR(A600="",I600=""),"",IF(SUMIFS($I$8:$I$657,$A$8:$A$657,A600)=0,"",I600*SUMIFS('Facturas y gastos'!$D$10:$D$13,'Facturas y gastos'!$A$10:$A$13,A600)/SUMIFS($I$8:$I$657,$A$8:$A$657,A600)))</f>
        <v/>
      </c>
      <c r="K600" s="8" t="str">
        <f>IF(J600="","",IF(SUMIFS('Facturas y gastos'!$D$10:$D$13,'Facturas y gastos'!$A$10:$A$13,A600)=0,"",J600*SUMIFS('Facturas y gastos'!$G$10:$G$13,'Facturas y gastos'!$A$10:$A$13,A600)/SUMIFS('Facturas y gastos'!$D$10:$D$13,'Facturas y gastos'!$A$10:$A$13,A600)))</f>
        <v/>
      </c>
      <c r="L600" s="8" t="str">
        <f>IF(J600="","",IF(SUMIFS('Facturas y gastos'!$D$10:$D$13,'Facturas y gastos'!$A$10:$A$13,A600)=0,"",J600*SUMIFS('Facturas y gastos'!$H$10:$H$13,'Facturas y gastos'!$A$10:$A$13,A600)/SUMIFS('Facturas y gastos'!$D$10:$D$13,'Facturas y gastos'!$A$10:$A$13,A600)))</f>
        <v/>
      </c>
      <c r="M600" s="8" t="str">
        <f>IF(J600="","",IF(SUMIFS('Facturas y gastos'!$D$10:$D$13,'Facturas y gastos'!$A$10:$A$13,A600)=0,"",J600*SUMIFS('Facturas y gastos'!$I$10:$I$13,'Facturas y gastos'!$A$10:$A$13,A600)/SUMIFS('Facturas y gastos'!$D$10:$D$13,'Facturas y gastos'!$A$10:$A$13,A600)))</f>
        <v/>
      </c>
      <c r="N600" s="8" t="str">
        <f>IF(J600="","",IF(SUMIFS('Facturas y gastos'!$D$10:$D$13,'Facturas y gastos'!$A$10:$A$13,A600)=0,"",J600*SUMIFS('Facturas y gastos'!$J$10:$J$13,'Facturas y gastos'!$A$10:$A$13,A600)/SUMIFS('Facturas y gastos'!$D$10:$D$13,'Facturas y gastos'!$A$10:$A$13,A600)))</f>
        <v/>
      </c>
      <c r="O600" s="8" t="str">
        <f t="shared" si="18"/>
        <v/>
      </c>
      <c r="P600" s="8" t="str">
        <f>IF(OR(O600="",'Facturas y gastos'!$B$24="",'Facturas y gastos'!$B$45&lt;&gt;"OK",SUM($O$8:$O$657)=0),"",O600*'Facturas y gastos'!$B$43/SUM($O$8:$O$657))</f>
        <v/>
      </c>
      <c r="Q600" s="8" t="str">
        <f>IF(OR(O600="",'Facturas y gastos'!$B$5="",P600=""),"",O600*'Facturas y gastos'!$B$5+P600)</f>
        <v/>
      </c>
      <c r="R600" s="8" t="str">
        <f t="shared" si="19"/>
        <v/>
      </c>
    </row>
    <row r="601" spans="1:18">
      <c r="A601" s="20"/>
      <c r="B601" s="20"/>
      <c r="C601" s="20"/>
      <c r="D601" s="20"/>
      <c r="E601" s="20"/>
      <c r="F601" s="30"/>
      <c r="G601" s="30"/>
      <c r="H601" s="21"/>
      <c r="I601" s="21"/>
      <c r="J601" s="8" t="str">
        <f>IF(OR(A601="",I601=""),"",IF(SUMIFS($I$8:$I$657,$A$8:$A$657,A601)=0,"",I601*SUMIFS('Facturas y gastos'!$D$10:$D$13,'Facturas y gastos'!$A$10:$A$13,A601)/SUMIFS($I$8:$I$657,$A$8:$A$657,A601)))</f>
        <v/>
      </c>
      <c r="K601" s="8" t="str">
        <f>IF(J601="","",IF(SUMIFS('Facturas y gastos'!$D$10:$D$13,'Facturas y gastos'!$A$10:$A$13,A601)=0,"",J601*SUMIFS('Facturas y gastos'!$G$10:$G$13,'Facturas y gastos'!$A$10:$A$13,A601)/SUMIFS('Facturas y gastos'!$D$10:$D$13,'Facturas y gastos'!$A$10:$A$13,A601)))</f>
        <v/>
      </c>
      <c r="L601" s="8" t="str">
        <f>IF(J601="","",IF(SUMIFS('Facturas y gastos'!$D$10:$D$13,'Facturas y gastos'!$A$10:$A$13,A601)=0,"",J601*SUMIFS('Facturas y gastos'!$H$10:$H$13,'Facturas y gastos'!$A$10:$A$13,A601)/SUMIFS('Facturas y gastos'!$D$10:$D$13,'Facturas y gastos'!$A$10:$A$13,A601)))</f>
        <v/>
      </c>
      <c r="M601" s="8" t="str">
        <f>IF(J601="","",IF(SUMIFS('Facturas y gastos'!$D$10:$D$13,'Facturas y gastos'!$A$10:$A$13,A601)=0,"",J601*SUMIFS('Facturas y gastos'!$I$10:$I$13,'Facturas y gastos'!$A$10:$A$13,A601)/SUMIFS('Facturas y gastos'!$D$10:$D$13,'Facturas y gastos'!$A$10:$A$13,A601)))</f>
        <v/>
      </c>
      <c r="N601" s="8" t="str">
        <f>IF(J601="","",IF(SUMIFS('Facturas y gastos'!$D$10:$D$13,'Facturas y gastos'!$A$10:$A$13,A601)=0,"",J601*SUMIFS('Facturas y gastos'!$J$10:$J$13,'Facturas y gastos'!$A$10:$A$13,A601)/SUMIFS('Facturas y gastos'!$D$10:$D$13,'Facturas y gastos'!$A$10:$A$13,A601)))</f>
        <v/>
      </c>
      <c r="O601" s="8" t="str">
        <f t="shared" si="18"/>
        <v/>
      </c>
      <c r="P601" s="8" t="str">
        <f>IF(OR(O601="",'Facturas y gastos'!$B$24="",'Facturas y gastos'!$B$45&lt;&gt;"OK",SUM($O$8:$O$657)=0),"",O601*'Facturas y gastos'!$B$43/SUM($O$8:$O$657))</f>
        <v/>
      </c>
      <c r="Q601" s="8" t="str">
        <f>IF(OR(O601="",'Facturas y gastos'!$B$5="",P601=""),"",O601*'Facturas y gastos'!$B$5+P601)</f>
        <v/>
      </c>
      <c r="R601" s="8" t="str">
        <f t="shared" si="19"/>
        <v/>
      </c>
    </row>
    <row r="602" spans="1:18">
      <c r="A602" s="20"/>
      <c r="B602" s="20"/>
      <c r="C602" s="20"/>
      <c r="D602" s="20"/>
      <c r="E602" s="20"/>
      <c r="F602" s="30"/>
      <c r="G602" s="30"/>
      <c r="H602" s="21"/>
      <c r="I602" s="21"/>
      <c r="J602" s="8" t="str">
        <f>IF(OR(A602="",I602=""),"",IF(SUMIFS($I$8:$I$657,$A$8:$A$657,A602)=0,"",I602*SUMIFS('Facturas y gastos'!$D$10:$D$13,'Facturas y gastos'!$A$10:$A$13,A602)/SUMIFS($I$8:$I$657,$A$8:$A$657,A602)))</f>
        <v/>
      </c>
      <c r="K602" s="8" t="str">
        <f>IF(J602="","",IF(SUMIFS('Facturas y gastos'!$D$10:$D$13,'Facturas y gastos'!$A$10:$A$13,A602)=0,"",J602*SUMIFS('Facturas y gastos'!$G$10:$G$13,'Facturas y gastos'!$A$10:$A$13,A602)/SUMIFS('Facturas y gastos'!$D$10:$D$13,'Facturas y gastos'!$A$10:$A$13,A602)))</f>
        <v/>
      </c>
      <c r="L602" s="8" t="str">
        <f>IF(J602="","",IF(SUMIFS('Facturas y gastos'!$D$10:$D$13,'Facturas y gastos'!$A$10:$A$13,A602)=0,"",J602*SUMIFS('Facturas y gastos'!$H$10:$H$13,'Facturas y gastos'!$A$10:$A$13,A602)/SUMIFS('Facturas y gastos'!$D$10:$D$13,'Facturas y gastos'!$A$10:$A$13,A602)))</f>
        <v/>
      </c>
      <c r="M602" s="8" t="str">
        <f>IF(J602="","",IF(SUMIFS('Facturas y gastos'!$D$10:$D$13,'Facturas y gastos'!$A$10:$A$13,A602)=0,"",J602*SUMIFS('Facturas y gastos'!$I$10:$I$13,'Facturas y gastos'!$A$10:$A$13,A602)/SUMIFS('Facturas y gastos'!$D$10:$D$13,'Facturas y gastos'!$A$10:$A$13,A602)))</f>
        <v/>
      </c>
      <c r="N602" s="8" t="str">
        <f>IF(J602="","",IF(SUMIFS('Facturas y gastos'!$D$10:$D$13,'Facturas y gastos'!$A$10:$A$13,A602)=0,"",J602*SUMIFS('Facturas y gastos'!$J$10:$J$13,'Facturas y gastos'!$A$10:$A$13,A602)/SUMIFS('Facturas y gastos'!$D$10:$D$13,'Facturas y gastos'!$A$10:$A$13,A602)))</f>
        <v/>
      </c>
      <c r="O602" s="8" t="str">
        <f t="shared" si="18"/>
        <v/>
      </c>
      <c r="P602" s="8" t="str">
        <f>IF(OR(O602="",'Facturas y gastos'!$B$24="",'Facturas y gastos'!$B$45&lt;&gt;"OK",SUM($O$8:$O$657)=0),"",O602*'Facturas y gastos'!$B$43/SUM($O$8:$O$657))</f>
        <v/>
      </c>
      <c r="Q602" s="8" t="str">
        <f>IF(OR(O602="",'Facturas y gastos'!$B$5="",P602=""),"",O602*'Facturas y gastos'!$B$5+P602)</f>
        <v/>
      </c>
      <c r="R602" s="8" t="str">
        <f t="shared" si="19"/>
        <v/>
      </c>
    </row>
    <row r="603" spans="1:18">
      <c r="A603" s="20"/>
      <c r="B603" s="20"/>
      <c r="C603" s="20"/>
      <c r="D603" s="20"/>
      <c r="E603" s="20"/>
      <c r="F603" s="30"/>
      <c r="G603" s="30"/>
      <c r="H603" s="21"/>
      <c r="I603" s="21"/>
      <c r="J603" s="8" t="str">
        <f>IF(OR(A603="",I603=""),"",IF(SUMIFS($I$8:$I$657,$A$8:$A$657,A603)=0,"",I603*SUMIFS('Facturas y gastos'!$D$10:$D$13,'Facturas y gastos'!$A$10:$A$13,A603)/SUMIFS($I$8:$I$657,$A$8:$A$657,A603)))</f>
        <v/>
      </c>
      <c r="K603" s="8" t="str">
        <f>IF(J603="","",IF(SUMIFS('Facturas y gastos'!$D$10:$D$13,'Facturas y gastos'!$A$10:$A$13,A603)=0,"",J603*SUMIFS('Facturas y gastos'!$G$10:$G$13,'Facturas y gastos'!$A$10:$A$13,A603)/SUMIFS('Facturas y gastos'!$D$10:$D$13,'Facturas y gastos'!$A$10:$A$13,A603)))</f>
        <v/>
      </c>
      <c r="L603" s="8" t="str">
        <f>IF(J603="","",IF(SUMIFS('Facturas y gastos'!$D$10:$D$13,'Facturas y gastos'!$A$10:$A$13,A603)=0,"",J603*SUMIFS('Facturas y gastos'!$H$10:$H$13,'Facturas y gastos'!$A$10:$A$13,A603)/SUMIFS('Facturas y gastos'!$D$10:$D$13,'Facturas y gastos'!$A$10:$A$13,A603)))</f>
        <v/>
      </c>
      <c r="M603" s="8" t="str">
        <f>IF(J603="","",IF(SUMIFS('Facturas y gastos'!$D$10:$D$13,'Facturas y gastos'!$A$10:$A$13,A603)=0,"",J603*SUMIFS('Facturas y gastos'!$I$10:$I$13,'Facturas y gastos'!$A$10:$A$13,A603)/SUMIFS('Facturas y gastos'!$D$10:$D$13,'Facturas y gastos'!$A$10:$A$13,A603)))</f>
        <v/>
      </c>
      <c r="N603" s="8" t="str">
        <f>IF(J603="","",IF(SUMIFS('Facturas y gastos'!$D$10:$D$13,'Facturas y gastos'!$A$10:$A$13,A603)=0,"",J603*SUMIFS('Facturas y gastos'!$J$10:$J$13,'Facturas y gastos'!$A$10:$A$13,A603)/SUMIFS('Facturas y gastos'!$D$10:$D$13,'Facturas y gastos'!$A$10:$A$13,A603)))</f>
        <v/>
      </c>
      <c r="O603" s="8" t="str">
        <f t="shared" si="18"/>
        <v/>
      </c>
      <c r="P603" s="8" t="str">
        <f>IF(OR(O603="",'Facturas y gastos'!$B$24="",'Facturas y gastos'!$B$45&lt;&gt;"OK",SUM($O$8:$O$657)=0),"",O603*'Facturas y gastos'!$B$43/SUM($O$8:$O$657))</f>
        <v/>
      </c>
      <c r="Q603" s="8" t="str">
        <f>IF(OR(O603="",'Facturas y gastos'!$B$5="",P603=""),"",O603*'Facturas y gastos'!$B$5+P603)</f>
        <v/>
      </c>
      <c r="R603" s="8" t="str">
        <f t="shared" si="19"/>
        <v/>
      </c>
    </row>
    <row r="604" spans="1:18">
      <c r="A604" s="20"/>
      <c r="B604" s="20"/>
      <c r="C604" s="20"/>
      <c r="D604" s="20"/>
      <c r="E604" s="20"/>
      <c r="F604" s="30"/>
      <c r="G604" s="30"/>
      <c r="H604" s="21"/>
      <c r="I604" s="21"/>
      <c r="J604" s="8" t="str">
        <f>IF(OR(A604="",I604=""),"",IF(SUMIFS($I$8:$I$657,$A$8:$A$657,A604)=0,"",I604*SUMIFS('Facturas y gastos'!$D$10:$D$13,'Facturas y gastos'!$A$10:$A$13,A604)/SUMIFS($I$8:$I$657,$A$8:$A$657,A604)))</f>
        <v/>
      </c>
      <c r="K604" s="8" t="str">
        <f>IF(J604="","",IF(SUMIFS('Facturas y gastos'!$D$10:$D$13,'Facturas y gastos'!$A$10:$A$13,A604)=0,"",J604*SUMIFS('Facturas y gastos'!$G$10:$G$13,'Facturas y gastos'!$A$10:$A$13,A604)/SUMIFS('Facturas y gastos'!$D$10:$D$13,'Facturas y gastos'!$A$10:$A$13,A604)))</f>
        <v/>
      </c>
      <c r="L604" s="8" t="str">
        <f>IF(J604="","",IF(SUMIFS('Facturas y gastos'!$D$10:$D$13,'Facturas y gastos'!$A$10:$A$13,A604)=0,"",J604*SUMIFS('Facturas y gastos'!$H$10:$H$13,'Facturas y gastos'!$A$10:$A$13,A604)/SUMIFS('Facturas y gastos'!$D$10:$D$13,'Facturas y gastos'!$A$10:$A$13,A604)))</f>
        <v/>
      </c>
      <c r="M604" s="8" t="str">
        <f>IF(J604="","",IF(SUMIFS('Facturas y gastos'!$D$10:$D$13,'Facturas y gastos'!$A$10:$A$13,A604)=0,"",J604*SUMIFS('Facturas y gastos'!$I$10:$I$13,'Facturas y gastos'!$A$10:$A$13,A604)/SUMIFS('Facturas y gastos'!$D$10:$D$13,'Facturas y gastos'!$A$10:$A$13,A604)))</f>
        <v/>
      </c>
      <c r="N604" s="8" t="str">
        <f>IF(J604="","",IF(SUMIFS('Facturas y gastos'!$D$10:$D$13,'Facturas y gastos'!$A$10:$A$13,A604)=0,"",J604*SUMIFS('Facturas y gastos'!$J$10:$J$13,'Facturas y gastos'!$A$10:$A$13,A604)/SUMIFS('Facturas y gastos'!$D$10:$D$13,'Facturas y gastos'!$A$10:$A$13,A604)))</f>
        <v/>
      </c>
      <c r="O604" s="8" t="str">
        <f t="shared" si="18"/>
        <v/>
      </c>
      <c r="P604" s="8" t="str">
        <f>IF(OR(O604="",'Facturas y gastos'!$B$24="",'Facturas y gastos'!$B$45&lt;&gt;"OK",SUM($O$8:$O$657)=0),"",O604*'Facturas y gastos'!$B$43/SUM($O$8:$O$657))</f>
        <v/>
      </c>
      <c r="Q604" s="8" t="str">
        <f>IF(OR(O604="",'Facturas y gastos'!$B$5="",P604=""),"",O604*'Facturas y gastos'!$B$5+P604)</f>
        <v/>
      </c>
      <c r="R604" s="8" t="str">
        <f t="shared" si="19"/>
        <v/>
      </c>
    </row>
    <row r="605" spans="1:18">
      <c r="A605" s="20"/>
      <c r="B605" s="20"/>
      <c r="C605" s="20"/>
      <c r="D605" s="20"/>
      <c r="E605" s="20"/>
      <c r="F605" s="30"/>
      <c r="G605" s="30"/>
      <c r="H605" s="21"/>
      <c r="I605" s="21"/>
      <c r="J605" s="8" t="str">
        <f>IF(OR(A605="",I605=""),"",IF(SUMIFS($I$8:$I$657,$A$8:$A$657,A605)=0,"",I605*SUMIFS('Facturas y gastos'!$D$10:$D$13,'Facturas y gastos'!$A$10:$A$13,A605)/SUMIFS($I$8:$I$657,$A$8:$A$657,A605)))</f>
        <v/>
      </c>
      <c r="K605" s="8" t="str">
        <f>IF(J605="","",IF(SUMIFS('Facturas y gastos'!$D$10:$D$13,'Facturas y gastos'!$A$10:$A$13,A605)=0,"",J605*SUMIFS('Facturas y gastos'!$G$10:$G$13,'Facturas y gastos'!$A$10:$A$13,A605)/SUMIFS('Facturas y gastos'!$D$10:$D$13,'Facturas y gastos'!$A$10:$A$13,A605)))</f>
        <v/>
      </c>
      <c r="L605" s="8" t="str">
        <f>IF(J605="","",IF(SUMIFS('Facturas y gastos'!$D$10:$D$13,'Facturas y gastos'!$A$10:$A$13,A605)=0,"",J605*SUMIFS('Facturas y gastos'!$H$10:$H$13,'Facturas y gastos'!$A$10:$A$13,A605)/SUMIFS('Facturas y gastos'!$D$10:$D$13,'Facturas y gastos'!$A$10:$A$13,A605)))</f>
        <v/>
      </c>
      <c r="M605" s="8" t="str">
        <f>IF(J605="","",IF(SUMIFS('Facturas y gastos'!$D$10:$D$13,'Facturas y gastos'!$A$10:$A$13,A605)=0,"",J605*SUMIFS('Facturas y gastos'!$I$10:$I$13,'Facturas y gastos'!$A$10:$A$13,A605)/SUMIFS('Facturas y gastos'!$D$10:$D$13,'Facturas y gastos'!$A$10:$A$13,A605)))</f>
        <v/>
      </c>
      <c r="N605" s="8" t="str">
        <f>IF(J605="","",IF(SUMIFS('Facturas y gastos'!$D$10:$D$13,'Facturas y gastos'!$A$10:$A$13,A605)=0,"",J605*SUMIFS('Facturas y gastos'!$J$10:$J$13,'Facturas y gastos'!$A$10:$A$13,A605)/SUMIFS('Facturas y gastos'!$D$10:$D$13,'Facturas y gastos'!$A$10:$A$13,A605)))</f>
        <v/>
      </c>
      <c r="O605" s="8" t="str">
        <f t="shared" si="18"/>
        <v/>
      </c>
      <c r="P605" s="8" t="str">
        <f>IF(OR(O605="",'Facturas y gastos'!$B$24="",'Facturas y gastos'!$B$45&lt;&gt;"OK",SUM($O$8:$O$657)=0),"",O605*'Facturas y gastos'!$B$43/SUM($O$8:$O$657))</f>
        <v/>
      </c>
      <c r="Q605" s="8" t="str">
        <f>IF(OR(O605="",'Facturas y gastos'!$B$5="",P605=""),"",O605*'Facturas y gastos'!$B$5+P605)</f>
        <v/>
      </c>
      <c r="R605" s="8" t="str">
        <f t="shared" si="19"/>
        <v/>
      </c>
    </row>
    <row r="606" spans="1:18">
      <c r="A606" s="20"/>
      <c r="B606" s="20"/>
      <c r="C606" s="20"/>
      <c r="D606" s="20"/>
      <c r="E606" s="20"/>
      <c r="F606" s="30"/>
      <c r="G606" s="30"/>
      <c r="H606" s="21"/>
      <c r="I606" s="21"/>
      <c r="J606" s="8" t="str">
        <f>IF(OR(A606="",I606=""),"",IF(SUMIFS($I$8:$I$657,$A$8:$A$657,A606)=0,"",I606*SUMIFS('Facturas y gastos'!$D$10:$D$13,'Facturas y gastos'!$A$10:$A$13,A606)/SUMIFS($I$8:$I$657,$A$8:$A$657,A606)))</f>
        <v/>
      </c>
      <c r="K606" s="8" t="str">
        <f>IF(J606="","",IF(SUMIFS('Facturas y gastos'!$D$10:$D$13,'Facturas y gastos'!$A$10:$A$13,A606)=0,"",J606*SUMIFS('Facturas y gastos'!$G$10:$G$13,'Facturas y gastos'!$A$10:$A$13,A606)/SUMIFS('Facturas y gastos'!$D$10:$D$13,'Facturas y gastos'!$A$10:$A$13,A606)))</f>
        <v/>
      </c>
      <c r="L606" s="8" t="str">
        <f>IF(J606="","",IF(SUMIFS('Facturas y gastos'!$D$10:$D$13,'Facturas y gastos'!$A$10:$A$13,A606)=0,"",J606*SUMIFS('Facturas y gastos'!$H$10:$H$13,'Facturas y gastos'!$A$10:$A$13,A606)/SUMIFS('Facturas y gastos'!$D$10:$D$13,'Facturas y gastos'!$A$10:$A$13,A606)))</f>
        <v/>
      </c>
      <c r="M606" s="8" t="str">
        <f>IF(J606="","",IF(SUMIFS('Facturas y gastos'!$D$10:$D$13,'Facturas y gastos'!$A$10:$A$13,A606)=0,"",J606*SUMIFS('Facturas y gastos'!$I$10:$I$13,'Facturas y gastos'!$A$10:$A$13,A606)/SUMIFS('Facturas y gastos'!$D$10:$D$13,'Facturas y gastos'!$A$10:$A$13,A606)))</f>
        <v/>
      </c>
      <c r="N606" s="8" t="str">
        <f>IF(J606="","",IF(SUMIFS('Facturas y gastos'!$D$10:$D$13,'Facturas y gastos'!$A$10:$A$13,A606)=0,"",J606*SUMIFS('Facturas y gastos'!$J$10:$J$13,'Facturas y gastos'!$A$10:$A$13,A606)/SUMIFS('Facturas y gastos'!$D$10:$D$13,'Facturas y gastos'!$A$10:$A$13,A606)))</f>
        <v/>
      </c>
      <c r="O606" s="8" t="str">
        <f t="shared" si="18"/>
        <v/>
      </c>
      <c r="P606" s="8" t="str">
        <f>IF(OR(O606="",'Facturas y gastos'!$B$24="",'Facturas y gastos'!$B$45&lt;&gt;"OK",SUM($O$8:$O$657)=0),"",O606*'Facturas y gastos'!$B$43/SUM($O$8:$O$657))</f>
        <v/>
      </c>
      <c r="Q606" s="8" t="str">
        <f>IF(OR(O606="",'Facturas y gastos'!$B$5="",P606=""),"",O606*'Facturas y gastos'!$B$5+P606)</f>
        <v/>
      </c>
      <c r="R606" s="8" t="str">
        <f t="shared" si="19"/>
        <v/>
      </c>
    </row>
    <row r="607" spans="1:18">
      <c r="A607" s="20"/>
      <c r="B607" s="20"/>
      <c r="C607" s="20"/>
      <c r="D607" s="20"/>
      <c r="E607" s="20"/>
      <c r="F607" s="30"/>
      <c r="G607" s="30"/>
      <c r="H607" s="21"/>
      <c r="I607" s="21"/>
      <c r="J607" s="8" t="str">
        <f>IF(OR(A607="",I607=""),"",IF(SUMIFS($I$8:$I$657,$A$8:$A$657,A607)=0,"",I607*SUMIFS('Facturas y gastos'!$D$10:$D$13,'Facturas y gastos'!$A$10:$A$13,A607)/SUMIFS($I$8:$I$657,$A$8:$A$657,A607)))</f>
        <v/>
      </c>
      <c r="K607" s="8" t="str">
        <f>IF(J607="","",IF(SUMIFS('Facturas y gastos'!$D$10:$D$13,'Facturas y gastos'!$A$10:$A$13,A607)=0,"",J607*SUMIFS('Facturas y gastos'!$G$10:$G$13,'Facturas y gastos'!$A$10:$A$13,A607)/SUMIFS('Facturas y gastos'!$D$10:$D$13,'Facturas y gastos'!$A$10:$A$13,A607)))</f>
        <v/>
      </c>
      <c r="L607" s="8" t="str">
        <f>IF(J607="","",IF(SUMIFS('Facturas y gastos'!$D$10:$D$13,'Facturas y gastos'!$A$10:$A$13,A607)=0,"",J607*SUMIFS('Facturas y gastos'!$H$10:$H$13,'Facturas y gastos'!$A$10:$A$13,A607)/SUMIFS('Facturas y gastos'!$D$10:$D$13,'Facturas y gastos'!$A$10:$A$13,A607)))</f>
        <v/>
      </c>
      <c r="M607" s="8" t="str">
        <f>IF(J607="","",IF(SUMIFS('Facturas y gastos'!$D$10:$D$13,'Facturas y gastos'!$A$10:$A$13,A607)=0,"",J607*SUMIFS('Facturas y gastos'!$I$10:$I$13,'Facturas y gastos'!$A$10:$A$13,A607)/SUMIFS('Facturas y gastos'!$D$10:$D$13,'Facturas y gastos'!$A$10:$A$13,A607)))</f>
        <v/>
      </c>
      <c r="N607" s="8" t="str">
        <f>IF(J607="","",IF(SUMIFS('Facturas y gastos'!$D$10:$D$13,'Facturas y gastos'!$A$10:$A$13,A607)=0,"",J607*SUMIFS('Facturas y gastos'!$J$10:$J$13,'Facturas y gastos'!$A$10:$A$13,A607)/SUMIFS('Facturas y gastos'!$D$10:$D$13,'Facturas y gastos'!$A$10:$A$13,A607)))</f>
        <v/>
      </c>
      <c r="O607" s="8" t="str">
        <f t="shared" si="18"/>
        <v/>
      </c>
      <c r="P607" s="8" t="str">
        <f>IF(OR(O607="",'Facturas y gastos'!$B$24="",'Facturas y gastos'!$B$45&lt;&gt;"OK",SUM($O$8:$O$657)=0),"",O607*'Facturas y gastos'!$B$43/SUM($O$8:$O$657))</f>
        <v/>
      </c>
      <c r="Q607" s="8" t="str">
        <f>IF(OR(O607="",'Facturas y gastos'!$B$5="",P607=""),"",O607*'Facturas y gastos'!$B$5+P607)</f>
        <v/>
      </c>
      <c r="R607" s="8" t="str">
        <f t="shared" si="19"/>
        <v/>
      </c>
    </row>
    <row r="608" spans="1:18">
      <c r="A608" s="20"/>
      <c r="B608" s="20"/>
      <c r="C608" s="20"/>
      <c r="D608" s="20"/>
      <c r="E608" s="20"/>
      <c r="F608" s="30"/>
      <c r="G608" s="30"/>
      <c r="H608" s="21"/>
      <c r="I608" s="21"/>
      <c r="J608" s="8" t="str">
        <f>IF(OR(A608="",I608=""),"",IF(SUMIFS($I$8:$I$657,$A$8:$A$657,A608)=0,"",I608*SUMIFS('Facturas y gastos'!$D$10:$D$13,'Facturas y gastos'!$A$10:$A$13,A608)/SUMIFS($I$8:$I$657,$A$8:$A$657,A608)))</f>
        <v/>
      </c>
      <c r="K608" s="8" t="str">
        <f>IF(J608="","",IF(SUMIFS('Facturas y gastos'!$D$10:$D$13,'Facturas y gastos'!$A$10:$A$13,A608)=0,"",J608*SUMIFS('Facturas y gastos'!$G$10:$G$13,'Facturas y gastos'!$A$10:$A$13,A608)/SUMIFS('Facturas y gastos'!$D$10:$D$13,'Facturas y gastos'!$A$10:$A$13,A608)))</f>
        <v/>
      </c>
      <c r="L608" s="8" t="str">
        <f>IF(J608="","",IF(SUMIFS('Facturas y gastos'!$D$10:$D$13,'Facturas y gastos'!$A$10:$A$13,A608)=0,"",J608*SUMIFS('Facturas y gastos'!$H$10:$H$13,'Facturas y gastos'!$A$10:$A$13,A608)/SUMIFS('Facturas y gastos'!$D$10:$D$13,'Facturas y gastos'!$A$10:$A$13,A608)))</f>
        <v/>
      </c>
      <c r="M608" s="8" t="str">
        <f>IF(J608="","",IF(SUMIFS('Facturas y gastos'!$D$10:$D$13,'Facturas y gastos'!$A$10:$A$13,A608)=0,"",J608*SUMIFS('Facturas y gastos'!$I$10:$I$13,'Facturas y gastos'!$A$10:$A$13,A608)/SUMIFS('Facturas y gastos'!$D$10:$D$13,'Facturas y gastos'!$A$10:$A$13,A608)))</f>
        <v/>
      </c>
      <c r="N608" s="8" t="str">
        <f>IF(J608="","",IF(SUMIFS('Facturas y gastos'!$D$10:$D$13,'Facturas y gastos'!$A$10:$A$13,A608)=0,"",J608*SUMIFS('Facturas y gastos'!$J$10:$J$13,'Facturas y gastos'!$A$10:$A$13,A608)/SUMIFS('Facturas y gastos'!$D$10:$D$13,'Facturas y gastos'!$A$10:$A$13,A608)))</f>
        <v/>
      </c>
      <c r="O608" s="8" t="str">
        <f t="shared" si="18"/>
        <v/>
      </c>
      <c r="P608" s="8" t="str">
        <f>IF(OR(O608="",'Facturas y gastos'!$B$24="",'Facturas y gastos'!$B$45&lt;&gt;"OK",SUM($O$8:$O$657)=0),"",O608*'Facturas y gastos'!$B$43/SUM($O$8:$O$657))</f>
        <v/>
      </c>
      <c r="Q608" s="8" t="str">
        <f>IF(OR(O608="",'Facturas y gastos'!$B$5="",P608=""),"",O608*'Facturas y gastos'!$B$5+P608)</f>
        <v/>
      </c>
      <c r="R608" s="8" t="str">
        <f t="shared" si="19"/>
        <v/>
      </c>
    </row>
    <row r="609" spans="1:18">
      <c r="A609" s="20"/>
      <c r="B609" s="20"/>
      <c r="C609" s="20"/>
      <c r="D609" s="20"/>
      <c r="E609" s="20"/>
      <c r="F609" s="30"/>
      <c r="G609" s="30"/>
      <c r="H609" s="21"/>
      <c r="I609" s="21"/>
      <c r="J609" s="8" t="str">
        <f>IF(OR(A609="",I609=""),"",IF(SUMIFS($I$8:$I$657,$A$8:$A$657,A609)=0,"",I609*SUMIFS('Facturas y gastos'!$D$10:$D$13,'Facturas y gastos'!$A$10:$A$13,A609)/SUMIFS($I$8:$I$657,$A$8:$A$657,A609)))</f>
        <v/>
      </c>
      <c r="K609" s="8" t="str">
        <f>IF(J609="","",IF(SUMIFS('Facturas y gastos'!$D$10:$D$13,'Facturas y gastos'!$A$10:$A$13,A609)=0,"",J609*SUMIFS('Facturas y gastos'!$G$10:$G$13,'Facturas y gastos'!$A$10:$A$13,A609)/SUMIFS('Facturas y gastos'!$D$10:$D$13,'Facturas y gastos'!$A$10:$A$13,A609)))</f>
        <v/>
      </c>
      <c r="L609" s="8" t="str">
        <f>IF(J609="","",IF(SUMIFS('Facturas y gastos'!$D$10:$D$13,'Facturas y gastos'!$A$10:$A$13,A609)=0,"",J609*SUMIFS('Facturas y gastos'!$H$10:$H$13,'Facturas y gastos'!$A$10:$A$13,A609)/SUMIFS('Facturas y gastos'!$D$10:$D$13,'Facturas y gastos'!$A$10:$A$13,A609)))</f>
        <v/>
      </c>
      <c r="M609" s="8" t="str">
        <f>IF(J609="","",IF(SUMIFS('Facturas y gastos'!$D$10:$D$13,'Facturas y gastos'!$A$10:$A$13,A609)=0,"",J609*SUMIFS('Facturas y gastos'!$I$10:$I$13,'Facturas y gastos'!$A$10:$A$13,A609)/SUMIFS('Facturas y gastos'!$D$10:$D$13,'Facturas y gastos'!$A$10:$A$13,A609)))</f>
        <v/>
      </c>
      <c r="N609" s="8" t="str">
        <f>IF(J609="","",IF(SUMIFS('Facturas y gastos'!$D$10:$D$13,'Facturas y gastos'!$A$10:$A$13,A609)=0,"",J609*SUMIFS('Facturas y gastos'!$J$10:$J$13,'Facturas y gastos'!$A$10:$A$13,A609)/SUMIFS('Facturas y gastos'!$D$10:$D$13,'Facturas y gastos'!$A$10:$A$13,A609)))</f>
        <v/>
      </c>
      <c r="O609" s="8" t="str">
        <f t="shared" si="18"/>
        <v/>
      </c>
      <c r="P609" s="8" t="str">
        <f>IF(OR(O609="",'Facturas y gastos'!$B$24="",'Facturas y gastos'!$B$45&lt;&gt;"OK",SUM($O$8:$O$657)=0),"",O609*'Facturas y gastos'!$B$43/SUM($O$8:$O$657))</f>
        <v/>
      </c>
      <c r="Q609" s="8" t="str">
        <f>IF(OR(O609="",'Facturas y gastos'!$B$5="",P609=""),"",O609*'Facturas y gastos'!$B$5+P609)</f>
        <v/>
      </c>
      <c r="R609" s="8" t="str">
        <f t="shared" si="19"/>
        <v/>
      </c>
    </row>
    <row r="610" spans="1:18">
      <c r="A610" s="20"/>
      <c r="B610" s="20"/>
      <c r="C610" s="20"/>
      <c r="D610" s="20"/>
      <c r="E610" s="20"/>
      <c r="F610" s="30"/>
      <c r="G610" s="30"/>
      <c r="H610" s="21"/>
      <c r="I610" s="21"/>
      <c r="J610" s="8" t="str">
        <f>IF(OR(A610="",I610=""),"",IF(SUMIFS($I$8:$I$657,$A$8:$A$657,A610)=0,"",I610*SUMIFS('Facturas y gastos'!$D$10:$D$13,'Facturas y gastos'!$A$10:$A$13,A610)/SUMIFS($I$8:$I$657,$A$8:$A$657,A610)))</f>
        <v/>
      </c>
      <c r="K610" s="8" t="str">
        <f>IF(J610="","",IF(SUMIFS('Facturas y gastos'!$D$10:$D$13,'Facturas y gastos'!$A$10:$A$13,A610)=0,"",J610*SUMIFS('Facturas y gastos'!$G$10:$G$13,'Facturas y gastos'!$A$10:$A$13,A610)/SUMIFS('Facturas y gastos'!$D$10:$D$13,'Facturas y gastos'!$A$10:$A$13,A610)))</f>
        <v/>
      </c>
      <c r="L610" s="8" t="str">
        <f>IF(J610="","",IF(SUMIFS('Facturas y gastos'!$D$10:$D$13,'Facturas y gastos'!$A$10:$A$13,A610)=0,"",J610*SUMIFS('Facturas y gastos'!$H$10:$H$13,'Facturas y gastos'!$A$10:$A$13,A610)/SUMIFS('Facturas y gastos'!$D$10:$D$13,'Facturas y gastos'!$A$10:$A$13,A610)))</f>
        <v/>
      </c>
      <c r="M610" s="8" t="str">
        <f>IF(J610="","",IF(SUMIFS('Facturas y gastos'!$D$10:$D$13,'Facturas y gastos'!$A$10:$A$13,A610)=0,"",J610*SUMIFS('Facturas y gastos'!$I$10:$I$13,'Facturas y gastos'!$A$10:$A$13,A610)/SUMIFS('Facturas y gastos'!$D$10:$D$13,'Facturas y gastos'!$A$10:$A$13,A610)))</f>
        <v/>
      </c>
      <c r="N610" s="8" t="str">
        <f>IF(J610="","",IF(SUMIFS('Facturas y gastos'!$D$10:$D$13,'Facturas y gastos'!$A$10:$A$13,A610)=0,"",J610*SUMIFS('Facturas y gastos'!$J$10:$J$13,'Facturas y gastos'!$A$10:$A$13,A610)/SUMIFS('Facturas y gastos'!$D$10:$D$13,'Facturas y gastos'!$A$10:$A$13,A610)))</f>
        <v/>
      </c>
      <c r="O610" s="8" t="str">
        <f t="shared" si="18"/>
        <v/>
      </c>
      <c r="P610" s="8" t="str">
        <f>IF(OR(O610="",'Facturas y gastos'!$B$24="",'Facturas y gastos'!$B$45&lt;&gt;"OK",SUM($O$8:$O$657)=0),"",O610*'Facturas y gastos'!$B$43/SUM($O$8:$O$657))</f>
        <v/>
      </c>
      <c r="Q610" s="8" t="str">
        <f>IF(OR(O610="",'Facturas y gastos'!$B$5="",P610=""),"",O610*'Facturas y gastos'!$B$5+P610)</f>
        <v/>
      </c>
      <c r="R610" s="8" t="str">
        <f t="shared" si="19"/>
        <v/>
      </c>
    </row>
    <row r="611" spans="1:18">
      <c r="A611" s="20"/>
      <c r="B611" s="20"/>
      <c r="C611" s="20"/>
      <c r="D611" s="20"/>
      <c r="E611" s="20"/>
      <c r="F611" s="30"/>
      <c r="G611" s="30"/>
      <c r="H611" s="21"/>
      <c r="I611" s="21"/>
      <c r="J611" s="8" t="str">
        <f>IF(OR(A611="",I611=""),"",IF(SUMIFS($I$8:$I$657,$A$8:$A$657,A611)=0,"",I611*SUMIFS('Facturas y gastos'!$D$10:$D$13,'Facturas y gastos'!$A$10:$A$13,A611)/SUMIFS($I$8:$I$657,$A$8:$A$657,A611)))</f>
        <v/>
      </c>
      <c r="K611" s="8" t="str">
        <f>IF(J611="","",IF(SUMIFS('Facturas y gastos'!$D$10:$D$13,'Facturas y gastos'!$A$10:$A$13,A611)=0,"",J611*SUMIFS('Facturas y gastos'!$G$10:$G$13,'Facturas y gastos'!$A$10:$A$13,A611)/SUMIFS('Facturas y gastos'!$D$10:$D$13,'Facturas y gastos'!$A$10:$A$13,A611)))</f>
        <v/>
      </c>
      <c r="L611" s="8" t="str">
        <f>IF(J611="","",IF(SUMIFS('Facturas y gastos'!$D$10:$D$13,'Facturas y gastos'!$A$10:$A$13,A611)=0,"",J611*SUMIFS('Facturas y gastos'!$H$10:$H$13,'Facturas y gastos'!$A$10:$A$13,A611)/SUMIFS('Facturas y gastos'!$D$10:$D$13,'Facturas y gastos'!$A$10:$A$13,A611)))</f>
        <v/>
      </c>
      <c r="M611" s="8" t="str">
        <f>IF(J611="","",IF(SUMIFS('Facturas y gastos'!$D$10:$D$13,'Facturas y gastos'!$A$10:$A$13,A611)=0,"",J611*SUMIFS('Facturas y gastos'!$I$10:$I$13,'Facturas y gastos'!$A$10:$A$13,A611)/SUMIFS('Facturas y gastos'!$D$10:$D$13,'Facturas y gastos'!$A$10:$A$13,A611)))</f>
        <v/>
      </c>
      <c r="N611" s="8" t="str">
        <f>IF(J611="","",IF(SUMIFS('Facturas y gastos'!$D$10:$D$13,'Facturas y gastos'!$A$10:$A$13,A611)=0,"",J611*SUMIFS('Facturas y gastos'!$J$10:$J$13,'Facturas y gastos'!$A$10:$A$13,A611)/SUMIFS('Facturas y gastos'!$D$10:$D$13,'Facturas y gastos'!$A$10:$A$13,A611)))</f>
        <v/>
      </c>
      <c r="O611" s="8" t="str">
        <f t="shared" si="18"/>
        <v/>
      </c>
      <c r="P611" s="8" t="str">
        <f>IF(OR(O611="",'Facturas y gastos'!$B$24="",'Facturas y gastos'!$B$45&lt;&gt;"OK",SUM($O$8:$O$657)=0),"",O611*'Facturas y gastos'!$B$43/SUM($O$8:$O$657))</f>
        <v/>
      </c>
      <c r="Q611" s="8" t="str">
        <f>IF(OR(O611="",'Facturas y gastos'!$B$5="",P611=""),"",O611*'Facturas y gastos'!$B$5+P611)</f>
        <v/>
      </c>
      <c r="R611" s="8" t="str">
        <f t="shared" si="19"/>
        <v/>
      </c>
    </row>
    <row r="612" spans="1:18">
      <c r="A612" s="20"/>
      <c r="B612" s="20"/>
      <c r="C612" s="20"/>
      <c r="D612" s="20"/>
      <c r="E612" s="20"/>
      <c r="F612" s="30"/>
      <c r="G612" s="30"/>
      <c r="H612" s="21"/>
      <c r="I612" s="21"/>
      <c r="J612" s="8" t="str">
        <f>IF(OR(A612="",I612=""),"",IF(SUMIFS($I$8:$I$657,$A$8:$A$657,A612)=0,"",I612*SUMIFS('Facturas y gastos'!$D$10:$D$13,'Facturas y gastos'!$A$10:$A$13,A612)/SUMIFS($I$8:$I$657,$A$8:$A$657,A612)))</f>
        <v/>
      </c>
      <c r="K612" s="8" t="str">
        <f>IF(J612="","",IF(SUMIFS('Facturas y gastos'!$D$10:$D$13,'Facturas y gastos'!$A$10:$A$13,A612)=0,"",J612*SUMIFS('Facturas y gastos'!$G$10:$G$13,'Facturas y gastos'!$A$10:$A$13,A612)/SUMIFS('Facturas y gastos'!$D$10:$D$13,'Facturas y gastos'!$A$10:$A$13,A612)))</f>
        <v/>
      </c>
      <c r="L612" s="8" t="str">
        <f>IF(J612="","",IF(SUMIFS('Facturas y gastos'!$D$10:$D$13,'Facturas y gastos'!$A$10:$A$13,A612)=0,"",J612*SUMIFS('Facturas y gastos'!$H$10:$H$13,'Facturas y gastos'!$A$10:$A$13,A612)/SUMIFS('Facturas y gastos'!$D$10:$D$13,'Facturas y gastos'!$A$10:$A$13,A612)))</f>
        <v/>
      </c>
      <c r="M612" s="8" t="str">
        <f>IF(J612="","",IF(SUMIFS('Facturas y gastos'!$D$10:$D$13,'Facturas y gastos'!$A$10:$A$13,A612)=0,"",J612*SUMIFS('Facturas y gastos'!$I$10:$I$13,'Facturas y gastos'!$A$10:$A$13,A612)/SUMIFS('Facturas y gastos'!$D$10:$D$13,'Facturas y gastos'!$A$10:$A$13,A612)))</f>
        <v/>
      </c>
      <c r="N612" s="8" t="str">
        <f>IF(J612="","",IF(SUMIFS('Facturas y gastos'!$D$10:$D$13,'Facturas y gastos'!$A$10:$A$13,A612)=0,"",J612*SUMIFS('Facturas y gastos'!$J$10:$J$13,'Facturas y gastos'!$A$10:$A$13,A612)/SUMIFS('Facturas y gastos'!$D$10:$D$13,'Facturas y gastos'!$A$10:$A$13,A612)))</f>
        <v/>
      </c>
      <c r="O612" s="8" t="str">
        <f t="shared" si="18"/>
        <v/>
      </c>
      <c r="P612" s="8" t="str">
        <f>IF(OR(O612="",'Facturas y gastos'!$B$24="",'Facturas y gastos'!$B$45&lt;&gt;"OK",SUM($O$8:$O$657)=0),"",O612*'Facturas y gastos'!$B$43/SUM($O$8:$O$657))</f>
        <v/>
      </c>
      <c r="Q612" s="8" t="str">
        <f>IF(OR(O612="",'Facturas y gastos'!$B$5="",P612=""),"",O612*'Facturas y gastos'!$B$5+P612)</f>
        <v/>
      </c>
      <c r="R612" s="8" t="str">
        <f t="shared" si="19"/>
        <v/>
      </c>
    </row>
    <row r="613" spans="1:18">
      <c r="A613" s="20"/>
      <c r="B613" s="20"/>
      <c r="C613" s="20"/>
      <c r="D613" s="20"/>
      <c r="E613" s="20"/>
      <c r="F613" s="30"/>
      <c r="G613" s="30"/>
      <c r="H613" s="21"/>
      <c r="I613" s="21"/>
      <c r="J613" s="8" t="str">
        <f>IF(OR(A613="",I613=""),"",IF(SUMIFS($I$8:$I$657,$A$8:$A$657,A613)=0,"",I613*SUMIFS('Facturas y gastos'!$D$10:$D$13,'Facturas y gastos'!$A$10:$A$13,A613)/SUMIFS($I$8:$I$657,$A$8:$A$657,A613)))</f>
        <v/>
      </c>
      <c r="K613" s="8" t="str">
        <f>IF(J613="","",IF(SUMIFS('Facturas y gastos'!$D$10:$D$13,'Facturas y gastos'!$A$10:$A$13,A613)=0,"",J613*SUMIFS('Facturas y gastos'!$G$10:$G$13,'Facturas y gastos'!$A$10:$A$13,A613)/SUMIFS('Facturas y gastos'!$D$10:$D$13,'Facturas y gastos'!$A$10:$A$13,A613)))</f>
        <v/>
      </c>
      <c r="L613" s="8" t="str">
        <f>IF(J613="","",IF(SUMIFS('Facturas y gastos'!$D$10:$D$13,'Facturas y gastos'!$A$10:$A$13,A613)=0,"",J613*SUMIFS('Facturas y gastos'!$H$10:$H$13,'Facturas y gastos'!$A$10:$A$13,A613)/SUMIFS('Facturas y gastos'!$D$10:$D$13,'Facturas y gastos'!$A$10:$A$13,A613)))</f>
        <v/>
      </c>
      <c r="M613" s="8" t="str">
        <f>IF(J613="","",IF(SUMIFS('Facturas y gastos'!$D$10:$D$13,'Facturas y gastos'!$A$10:$A$13,A613)=0,"",J613*SUMIFS('Facturas y gastos'!$I$10:$I$13,'Facturas y gastos'!$A$10:$A$13,A613)/SUMIFS('Facturas y gastos'!$D$10:$D$13,'Facturas y gastos'!$A$10:$A$13,A613)))</f>
        <v/>
      </c>
      <c r="N613" s="8" t="str">
        <f>IF(J613="","",IF(SUMIFS('Facturas y gastos'!$D$10:$D$13,'Facturas y gastos'!$A$10:$A$13,A613)=0,"",J613*SUMIFS('Facturas y gastos'!$J$10:$J$13,'Facturas y gastos'!$A$10:$A$13,A613)/SUMIFS('Facturas y gastos'!$D$10:$D$13,'Facturas y gastos'!$A$10:$A$13,A613)))</f>
        <v/>
      </c>
      <c r="O613" s="8" t="str">
        <f t="shared" si="18"/>
        <v/>
      </c>
      <c r="P613" s="8" t="str">
        <f>IF(OR(O613="",'Facturas y gastos'!$B$24="",'Facturas y gastos'!$B$45&lt;&gt;"OK",SUM($O$8:$O$657)=0),"",O613*'Facturas y gastos'!$B$43/SUM($O$8:$O$657))</f>
        <v/>
      </c>
      <c r="Q613" s="8" t="str">
        <f>IF(OR(O613="",'Facturas y gastos'!$B$5="",P613=""),"",O613*'Facturas y gastos'!$B$5+P613)</f>
        <v/>
      </c>
      <c r="R613" s="8" t="str">
        <f t="shared" si="19"/>
        <v/>
      </c>
    </row>
    <row r="614" spans="1:18">
      <c r="A614" s="20"/>
      <c r="B614" s="20"/>
      <c r="C614" s="20"/>
      <c r="D614" s="20"/>
      <c r="E614" s="20"/>
      <c r="F614" s="30"/>
      <c r="G614" s="30"/>
      <c r="H614" s="21"/>
      <c r="I614" s="21"/>
      <c r="J614" s="8" t="str">
        <f>IF(OR(A614="",I614=""),"",IF(SUMIFS($I$8:$I$657,$A$8:$A$657,A614)=0,"",I614*SUMIFS('Facturas y gastos'!$D$10:$D$13,'Facturas y gastos'!$A$10:$A$13,A614)/SUMIFS($I$8:$I$657,$A$8:$A$657,A614)))</f>
        <v/>
      </c>
      <c r="K614" s="8" t="str">
        <f>IF(J614="","",IF(SUMIFS('Facturas y gastos'!$D$10:$D$13,'Facturas y gastos'!$A$10:$A$13,A614)=0,"",J614*SUMIFS('Facturas y gastos'!$G$10:$G$13,'Facturas y gastos'!$A$10:$A$13,A614)/SUMIFS('Facturas y gastos'!$D$10:$D$13,'Facturas y gastos'!$A$10:$A$13,A614)))</f>
        <v/>
      </c>
      <c r="L614" s="8" t="str">
        <f>IF(J614="","",IF(SUMIFS('Facturas y gastos'!$D$10:$D$13,'Facturas y gastos'!$A$10:$A$13,A614)=0,"",J614*SUMIFS('Facturas y gastos'!$H$10:$H$13,'Facturas y gastos'!$A$10:$A$13,A614)/SUMIFS('Facturas y gastos'!$D$10:$D$13,'Facturas y gastos'!$A$10:$A$13,A614)))</f>
        <v/>
      </c>
      <c r="M614" s="8" t="str">
        <f>IF(J614="","",IF(SUMIFS('Facturas y gastos'!$D$10:$D$13,'Facturas y gastos'!$A$10:$A$13,A614)=0,"",J614*SUMIFS('Facturas y gastos'!$I$10:$I$13,'Facturas y gastos'!$A$10:$A$13,A614)/SUMIFS('Facturas y gastos'!$D$10:$D$13,'Facturas y gastos'!$A$10:$A$13,A614)))</f>
        <v/>
      </c>
      <c r="N614" s="8" t="str">
        <f>IF(J614="","",IF(SUMIFS('Facturas y gastos'!$D$10:$D$13,'Facturas y gastos'!$A$10:$A$13,A614)=0,"",J614*SUMIFS('Facturas y gastos'!$J$10:$J$13,'Facturas y gastos'!$A$10:$A$13,A614)/SUMIFS('Facturas y gastos'!$D$10:$D$13,'Facturas y gastos'!$A$10:$A$13,A614)))</f>
        <v/>
      </c>
      <c r="O614" s="8" t="str">
        <f t="shared" si="18"/>
        <v/>
      </c>
      <c r="P614" s="8" t="str">
        <f>IF(OR(O614="",'Facturas y gastos'!$B$24="",'Facturas y gastos'!$B$45&lt;&gt;"OK",SUM($O$8:$O$657)=0),"",O614*'Facturas y gastos'!$B$43/SUM($O$8:$O$657))</f>
        <v/>
      </c>
      <c r="Q614" s="8" t="str">
        <f>IF(OR(O614="",'Facturas y gastos'!$B$5="",P614=""),"",O614*'Facturas y gastos'!$B$5+P614)</f>
        <v/>
      </c>
      <c r="R614" s="8" t="str">
        <f t="shared" si="19"/>
        <v/>
      </c>
    </row>
    <row r="615" spans="1:18">
      <c r="A615" s="20"/>
      <c r="B615" s="20"/>
      <c r="C615" s="20"/>
      <c r="D615" s="20"/>
      <c r="E615" s="20"/>
      <c r="F615" s="30"/>
      <c r="G615" s="30"/>
      <c r="H615" s="21"/>
      <c r="I615" s="21"/>
      <c r="J615" s="8" t="str">
        <f>IF(OR(A615="",I615=""),"",IF(SUMIFS($I$8:$I$657,$A$8:$A$657,A615)=0,"",I615*SUMIFS('Facturas y gastos'!$D$10:$D$13,'Facturas y gastos'!$A$10:$A$13,A615)/SUMIFS($I$8:$I$657,$A$8:$A$657,A615)))</f>
        <v/>
      </c>
      <c r="K615" s="8" t="str">
        <f>IF(J615="","",IF(SUMIFS('Facturas y gastos'!$D$10:$D$13,'Facturas y gastos'!$A$10:$A$13,A615)=0,"",J615*SUMIFS('Facturas y gastos'!$G$10:$G$13,'Facturas y gastos'!$A$10:$A$13,A615)/SUMIFS('Facturas y gastos'!$D$10:$D$13,'Facturas y gastos'!$A$10:$A$13,A615)))</f>
        <v/>
      </c>
      <c r="L615" s="8" t="str">
        <f>IF(J615="","",IF(SUMIFS('Facturas y gastos'!$D$10:$D$13,'Facturas y gastos'!$A$10:$A$13,A615)=0,"",J615*SUMIFS('Facturas y gastos'!$H$10:$H$13,'Facturas y gastos'!$A$10:$A$13,A615)/SUMIFS('Facturas y gastos'!$D$10:$D$13,'Facturas y gastos'!$A$10:$A$13,A615)))</f>
        <v/>
      </c>
      <c r="M615" s="8" t="str">
        <f>IF(J615="","",IF(SUMIFS('Facturas y gastos'!$D$10:$D$13,'Facturas y gastos'!$A$10:$A$13,A615)=0,"",J615*SUMIFS('Facturas y gastos'!$I$10:$I$13,'Facturas y gastos'!$A$10:$A$13,A615)/SUMIFS('Facturas y gastos'!$D$10:$D$13,'Facturas y gastos'!$A$10:$A$13,A615)))</f>
        <v/>
      </c>
      <c r="N615" s="8" t="str">
        <f>IF(J615="","",IF(SUMIFS('Facturas y gastos'!$D$10:$D$13,'Facturas y gastos'!$A$10:$A$13,A615)=0,"",J615*SUMIFS('Facturas y gastos'!$J$10:$J$13,'Facturas y gastos'!$A$10:$A$13,A615)/SUMIFS('Facturas y gastos'!$D$10:$D$13,'Facturas y gastos'!$A$10:$A$13,A615)))</f>
        <v/>
      </c>
      <c r="O615" s="8" t="str">
        <f t="shared" si="18"/>
        <v/>
      </c>
      <c r="P615" s="8" t="str">
        <f>IF(OR(O615="",'Facturas y gastos'!$B$24="",'Facturas y gastos'!$B$45&lt;&gt;"OK",SUM($O$8:$O$657)=0),"",O615*'Facturas y gastos'!$B$43/SUM($O$8:$O$657))</f>
        <v/>
      </c>
      <c r="Q615" s="8" t="str">
        <f>IF(OR(O615="",'Facturas y gastos'!$B$5="",P615=""),"",O615*'Facturas y gastos'!$B$5+P615)</f>
        <v/>
      </c>
      <c r="R615" s="8" t="str">
        <f t="shared" si="19"/>
        <v/>
      </c>
    </row>
    <row r="616" spans="1:18">
      <c r="A616" s="20"/>
      <c r="B616" s="20"/>
      <c r="C616" s="20"/>
      <c r="D616" s="20"/>
      <c r="E616" s="20"/>
      <c r="F616" s="30"/>
      <c r="G616" s="30"/>
      <c r="H616" s="21"/>
      <c r="I616" s="21"/>
      <c r="J616" s="8" t="str">
        <f>IF(OR(A616="",I616=""),"",IF(SUMIFS($I$8:$I$657,$A$8:$A$657,A616)=0,"",I616*SUMIFS('Facturas y gastos'!$D$10:$D$13,'Facturas y gastos'!$A$10:$A$13,A616)/SUMIFS($I$8:$I$657,$A$8:$A$657,A616)))</f>
        <v/>
      </c>
      <c r="K616" s="8" t="str">
        <f>IF(J616="","",IF(SUMIFS('Facturas y gastos'!$D$10:$D$13,'Facturas y gastos'!$A$10:$A$13,A616)=0,"",J616*SUMIFS('Facturas y gastos'!$G$10:$G$13,'Facturas y gastos'!$A$10:$A$13,A616)/SUMIFS('Facturas y gastos'!$D$10:$D$13,'Facturas y gastos'!$A$10:$A$13,A616)))</f>
        <v/>
      </c>
      <c r="L616" s="8" t="str">
        <f>IF(J616="","",IF(SUMIFS('Facturas y gastos'!$D$10:$D$13,'Facturas y gastos'!$A$10:$A$13,A616)=0,"",J616*SUMIFS('Facturas y gastos'!$H$10:$H$13,'Facturas y gastos'!$A$10:$A$13,A616)/SUMIFS('Facturas y gastos'!$D$10:$D$13,'Facturas y gastos'!$A$10:$A$13,A616)))</f>
        <v/>
      </c>
      <c r="M616" s="8" t="str">
        <f>IF(J616="","",IF(SUMIFS('Facturas y gastos'!$D$10:$D$13,'Facturas y gastos'!$A$10:$A$13,A616)=0,"",J616*SUMIFS('Facturas y gastos'!$I$10:$I$13,'Facturas y gastos'!$A$10:$A$13,A616)/SUMIFS('Facturas y gastos'!$D$10:$D$13,'Facturas y gastos'!$A$10:$A$13,A616)))</f>
        <v/>
      </c>
      <c r="N616" s="8" t="str">
        <f>IF(J616="","",IF(SUMIFS('Facturas y gastos'!$D$10:$D$13,'Facturas y gastos'!$A$10:$A$13,A616)=0,"",J616*SUMIFS('Facturas y gastos'!$J$10:$J$13,'Facturas y gastos'!$A$10:$A$13,A616)/SUMIFS('Facturas y gastos'!$D$10:$D$13,'Facturas y gastos'!$A$10:$A$13,A616)))</f>
        <v/>
      </c>
      <c r="O616" s="8" t="str">
        <f t="shared" si="18"/>
        <v/>
      </c>
      <c r="P616" s="8" t="str">
        <f>IF(OR(O616="",'Facturas y gastos'!$B$24="",'Facturas y gastos'!$B$45&lt;&gt;"OK",SUM($O$8:$O$657)=0),"",O616*'Facturas y gastos'!$B$43/SUM($O$8:$O$657))</f>
        <v/>
      </c>
      <c r="Q616" s="8" t="str">
        <f>IF(OR(O616="",'Facturas y gastos'!$B$5="",P616=""),"",O616*'Facturas y gastos'!$B$5+P616)</f>
        <v/>
      </c>
      <c r="R616" s="8" t="str">
        <f t="shared" si="19"/>
        <v/>
      </c>
    </row>
    <row r="617" spans="1:18">
      <c r="A617" s="20"/>
      <c r="B617" s="20"/>
      <c r="C617" s="20"/>
      <c r="D617" s="20"/>
      <c r="E617" s="20"/>
      <c r="F617" s="30"/>
      <c r="G617" s="30"/>
      <c r="H617" s="21"/>
      <c r="I617" s="21"/>
      <c r="J617" s="8" t="str">
        <f>IF(OR(A617="",I617=""),"",IF(SUMIFS($I$8:$I$657,$A$8:$A$657,A617)=0,"",I617*SUMIFS('Facturas y gastos'!$D$10:$D$13,'Facturas y gastos'!$A$10:$A$13,A617)/SUMIFS($I$8:$I$657,$A$8:$A$657,A617)))</f>
        <v/>
      </c>
      <c r="K617" s="8" t="str">
        <f>IF(J617="","",IF(SUMIFS('Facturas y gastos'!$D$10:$D$13,'Facturas y gastos'!$A$10:$A$13,A617)=0,"",J617*SUMIFS('Facturas y gastos'!$G$10:$G$13,'Facturas y gastos'!$A$10:$A$13,A617)/SUMIFS('Facturas y gastos'!$D$10:$D$13,'Facturas y gastos'!$A$10:$A$13,A617)))</f>
        <v/>
      </c>
      <c r="L617" s="8" t="str">
        <f>IF(J617="","",IF(SUMIFS('Facturas y gastos'!$D$10:$D$13,'Facturas y gastos'!$A$10:$A$13,A617)=0,"",J617*SUMIFS('Facturas y gastos'!$H$10:$H$13,'Facturas y gastos'!$A$10:$A$13,A617)/SUMIFS('Facturas y gastos'!$D$10:$D$13,'Facturas y gastos'!$A$10:$A$13,A617)))</f>
        <v/>
      </c>
      <c r="M617" s="8" t="str">
        <f>IF(J617="","",IF(SUMIFS('Facturas y gastos'!$D$10:$D$13,'Facturas y gastos'!$A$10:$A$13,A617)=0,"",J617*SUMIFS('Facturas y gastos'!$I$10:$I$13,'Facturas y gastos'!$A$10:$A$13,A617)/SUMIFS('Facturas y gastos'!$D$10:$D$13,'Facturas y gastos'!$A$10:$A$13,A617)))</f>
        <v/>
      </c>
      <c r="N617" s="8" t="str">
        <f>IF(J617="","",IF(SUMIFS('Facturas y gastos'!$D$10:$D$13,'Facturas y gastos'!$A$10:$A$13,A617)=0,"",J617*SUMIFS('Facturas y gastos'!$J$10:$J$13,'Facturas y gastos'!$A$10:$A$13,A617)/SUMIFS('Facturas y gastos'!$D$10:$D$13,'Facturas y gastos'!$A$10:$A$13,A617)))</f>
        <v/>
      </c>
      <c r="O617" s="8" t="str">
        <f t="shared" si="18"/>
        <v/>
      </c>
      <c r="P617" s="8" t="str">
        <f>IF(OR(O617="",'Facturas y gastos'!$B$24="",'Facturas y gastos'!$B$45&lt;&gt;"OK",SUM($O$8:$O$657)=0),"",O617*'Facturas y gastos'!$B$43/SUM($O$8:$O$657))</f>
        <v/>
      </c>
      <c r="Q617" s="8" t="str">
        <f>IF(OR(O617="",'Facturas y gastos'!$B$5="",P617=""),"",O617*'Facturas y gastos'!$B$5+P617)</f>
        <v/>
      </c>
      <c r="R617" s="8" t="str">
        <f t="shared" si="19"/>
        <v/>
      </c>
    </row>
    <row r="618" spans="1:18">
      <c r="A618" s="20"/>
      <c r="B618" s="20"/>
      <c r="C618" s="20"/>
      <c r="D618" s="20"/>
      <c r="E618" s="20"/>
      <c r="F618" s="30"/>
      <c r="G618" s="30"/>
      <c r="H618" s="21"/>
      <c r="I618" s="21"/>
      <c r="J618" s="8" t="str">
        <f>IF(OR(A618="",I618=""),"",IF(SUMIFS($I$8:$I$657,$A$8:$A$657,A618)=0,"",I618*SUMIFS('Facturas y gastos'!$D$10:$D$13,'Facturas y gastos'!$A$10:$A$13,A618)/SUMIFS($I$8:$I$657,$A$8:$A$657,A618)))</f>
        <v/>
      </c>
      <c r="K618" s="8" t="str">
        <f>IF(J618="","",IF(SUMIFS('Facturas y gastos'!$D$10:$D$13,'Facturas y gastos'!$A$10:$A$13,A618)=0,"",J618*SUMIFS('Facturas y gastos'!$G$10:$G$13,'Facturas y gastos'!$A$10:$A$13,A618)/SUMIFS('Facturas y gastos'!$D$10:$D$13,'Facturas y gastos'!$A$10:$A$13,A618)))</f>
        <v/>
      </c>
      <c r="L618" s="8" t="str">
        <f>IF(J618="","",IF(SUMIFS('Facturas y gastos'!$D$10:$D$13,'Facturas y gastos'!$A$10:$A$13,A618)=0,"",J618*SUMIFS('Facturas y gastos'!$H$10:$H$13,'Facturas y gastos'!$A$10:$A$13,A618)/SUMIFS('Facturas y gastos'!$D$10:$D$13,'Facturas y gastos'!$A$10:$A$13,A618)))</f>
        <v/>
      </c>
      <c r="M618" s="8" t="str">
        <f>IF(J618="","",IF(SUMIFS('Facturas y gastos'!$D$10:$D$13,'Facturas y gastos'!$A$10:$A$13,A618)=0,"",J618*SUMIFS('Facturas y gastos'!$I$10:$I$13,'Facturas y gastos'!$A$10:$A$13,A618)/SUMIFS('Facturas y gastos'!$D$10:$D$13,'Facturas y gastos'!$A$10:$A$13,A618)))</f>
        <v/>
      </c>
      <c r="N618" s="8" t="str">
        <f>IF(J618="","",IF(SUMIFS('Facturas y gastos'!$D$10:$D$13,'Facturas y gastos'!$A$10:$A$13,A618)=0,"",J618*SUMIFS('Facturas y gastos'!$J$10:$J$13,'Facturas y gastos'!$A$10:$A$13,A618)/SUMIFS('Facturas y gastos'!$D$10:$D$13,'Facturas y gastos'!$A$10:$A$13,A618)))</f>
        <v/>
      </c>
      <c r="O618" s="8" t="str">
        <f t="shared" si="18"/>
        <v/>
      </c>
      <c r="P618" s="8" t="str">
        <f>IF(OR(O618="",'Facturas y gastos'!$B$24="",'Facturas y gastos'!$B$45&lt;&gt;"OK",SUM($O$8:$O$657)=0),"",O618*'Facturas y gastos'!$B$43/SUM($O$8:$O$657))</f>
        <v/>
      </c>
      <c r="Q618" s="8" t="str">
        <f>IF(OR(O618="",'Facturas y gastos'!$B$5="",P618=""),"",O618*'Facturas y gastos'!$B$5+P618)</f>
        <v/>
      </c>
      <c r="R618" s="8" t="str">
        <f t="shared" si="19"/>
        <v/>
      </c>
    </row>
    <row r="619" spans="1:18">
      <c r="A619" s="20"/>
      <c r="B619" s="20"/>
      <c r="C619" s="20"/>
      <c r="D619" s="20"/>
      <c r="E619" s="20"/>
      <c r="F619" s="30"/>
      <c r="G619" s="30"/>
      <c r="H619" s="21"/>
      <c r="I619" s="21"/>
      <c r="J619" s="8" t="str">
        <f>IF(OR(A619="",I619=""),"",IF(SUMIFS($I$8:$I$657,$A$8:$A$657,A619)=0,"",I619*SUMIFS('Facturas y gastos'!$D$10:$D$13,'Facturas y gastos'!$A$10:$A$13,A619)/SUMIFS($I$8:$I$657,$A$8:$A$657,A619)))</f>
        <v/>
      </c>
      <c r="K619" s="8" t="str">
        <f>IF(J619="","",IF(SUMIFS('Facturas y gastos'!$D$10:$D$13,'Facturas y gastos'!$A$10:$A$13,A619)=0,"",J619*SUMIFS('Facturas y gastos'!$G$10:$G$13,'Facturas y gastos'!$A$10:$A$13,A619)/SUMIFS('Facturas y gastos'!$D$10:$D$13,'Facturas y gastos'!$A$10:$A$13,A619)))</f>
        <v/>
      </c>
      <c r="L619" s="8" t="str">
        <f>IF(J619="","",IF(SUMIFS('Facturas y gastos'!$D$10:$D$13,'Facturas y gastos'!$A$10:$A$13,A619)=0,"",J619*SUMIFS('Facturas y gastos'!$H$10:$H$13,'Facturas y gastos'!$A$10:$A$13,A619)/SUMIFS('Facturas y gastos'!$D$10:$D$13,'Facturas y gastos'!$A$10:$A$13,A619)))</f>
        <v/>
      </c>
      <c r="M619" s="8" t="str">
        <f>IF(J619="","",IF(SUMIFS('Facturas y gastos'!$D$10:$D$13,'Facturas y gastos'!$A$10:$A$13,A619)=0,"",J619*SUMIFS('Facturas y gastos'!$I$10:$I$13,'Facturas y gastos'!$A$10:$A$13,A619)/SUMIFS('Facturas y gastos'!$D$10:$D$13,'Facturas y gastos'!$A$10:$A$13,A619)))</f>
        <v/>
      </c>
      <c r="N619" s="8" t="str">
        <f>IF(J619="","",IF(SUMIFS('Facturas y gastos'!$D$10:$D$13,'Facturas y gastos'!$A$10:$A$13,A619)=0,"",J619*SUMIFS('Facturas y gastos'!$J$10:$J$13,'Facturas y gastos'!$A$10:$A$13,A619)/SUMIFS('Facturas y gastos'!$D$10:$D$13,'Facturas y gastos'!$A$10:$A$13,A619)))</f>
        <v/>
      </c>
      <c r="O619" s="8" t="str">
        <f t="shared" si="18"/>
        <v/>
      </c>
      <c r="P619" s="8" t="str">
        <f>IF(OR(O619="",'Facturas y gastos'!$B$24="",'Facturas y gastos'!$B$45&lt;&gt;"OK",SUM($O$8:$O$657)=0),"",O619*'Facturas y gastos'!$B$43/SUM($O$8:$O$657))</f>
        <v/>
      </c>
      <c r="Q619" s="8" t="str">
        <f>IF(OR(O619="",'Facturas y gastos'!$B$5="",P619=""),"",O619*'Facturas y gastos'!$B$5+P619)</f>
        <v/>
      </c>
      <c r="R619" s="8" t="str">
        <f t="shared" si="19"/>
        <v/>
      </c>
    </row>
    <row r="620" spans="1:18">
      <c r="A620" s="20"/>
      <c r="B620" s="20"/>
      <c r="C620" s="20"/>
      <c r="D620" s="20"/>
      <c r="E620" s="20"/>
      <c r="F620" s="30"/>
      <c r="G620" s="30"/>
      <c r="H620" s="21"/>
      <c r="I620" s="21"/>
      <c r="J620" s="8" t="str">
        <f>IF(OR(A620="",I620=""),"",IF(SUMIFS($I$8:$I$657,$A$8:$A$657,A620)=0,"",I620*SUMIFS('Facturas y gastos'!$D$10:$D$13,'Facturas y gastos'!$A$10:$A$13,A620)/SUMIFS($I$8:$I$657,$A$8:$A$657,A620)))</f>
        <v/>
      </c>
      <c r="K620" s="8" t="str">
        <f>IF(J620="","",IF(SUMIFS('Facturas y gastos'!$D$10:$D$13,'Facturas y gastos'!$A$10:$A$13,A620)=0,"",J620*SUMIFS('Facturas y gastos'!$G$10:$G$13,'Facturas y gastos'!$A$10:$A$13,A620)/SUMIFS('Facturas y gastos'!$D$10:$D$13,'Facturas y gastos'!$A$10:$A$13,A620)))</f>
        <v/>
      </c>
      <c r="L620" s="8" t="str">
        <f>IF(J620="","",IF(SUMIFS('Facturas y gastos'!$D$10:$D$13,'Facturas y gastos'!$A$10:$A$13,A620)=0,"",J620*SUMIFS('Facturas y gastos'!$H$10:$H$13,'Facturas y gastos'!$A$10:$A$13,A620)/SUMIFS('Facturas y gastos'!$D$10:$D$13,'Facturas y gastos'!$A$10:$A$13,A620)))</f>
        <v/>
      </c>
      <c r="M620" s="8" t="str">
        <f>IF(J620="","",IF(SUMIFS('Facturas y gastos'!$D$10:$D$13,'Facturas y gastos'!$A$10:$A$13,A620)=0,"",J620*SUMIFS('Facturas y gastos'!$I$10:$I$13,'Facturas y gastos'!$A$10:$A$13,A620)/SUMIFS('Facturas y gastos'!$D$10:$D$13,'Facturas y gastos'!$A$10:$A$13,A620)))</f>
        <v/>
      </c>
      <c r="N620" s="8" t="str">
        <f>IF(J620="","",IF(SUMIFS('Facturas y gastos'!$D$10:$D$13,'Facturas y gastos'!$A$10:$A$13,A620)=0,"",J620*SUMIFS('Facturas y gastos'!$J$10:$J$13,'Facturas y gastos'!$A$10:$A$13,A620)/SUMIFS('Facturas y gastos'!$D$10:$D$13,'Facturas y gastos'!$A$10:$A$13,A620)))</f>
        <v/>
      </c>
      <c r="O620" s="8" t="str">
        <f t="shared" si="18"/>
        <v/>
      </c>
      <c r="P620" s="8" t="str">
        <f>IF(OR(O620="",'Facturas y gastos'!$B$24="",'Facturas y gastos'!$B$45&lt;&gt;"OK",SUM($O$8:$O$657)=0),"",O620*'Facturas y gastos'!$B$43/SUM($O$8:$O$657))</f>
        <v/>
      </c>
      <c r="Q620" s="8" t="str">
        <f>IF(OR(O620="",'Facturas y gastos'!$B$5="",P620=""),"",O620*'Facturas y gastos'!$B$5+P620)</f>
        <v/>
      </c>
      <c r="R620" s="8" t="str">
        <f t="shared" si="19"/>
        <v/>
      </c>
    </row>
    <row r="621" spans="1:18">
      <c r="A621" s="20"/>
      <c r="B621" s="20"/>
      <c r="C621" s="20"/>
      <c r="D621" s="20"/>
      <c r="E621" s="20"/>
      <c r="F621" s="30"/>
      <c r="G621" s="30"/>
      <c r="H621" s="21"/>
      <c r="I621" s="21"/>
      <c r="J621" s="8" t="str">
        <f>IF(OR(A621="",I621=""),"",IF(SUMIFS($I$8:$I$657,$A$8:$A$657,A621)=0,"",I621*SUMIFS('Facturas y gastos'!$D$10:$D$13,'Facturas y gastos'!$A$10:$A$13,A621)/SUMIFS($I$8:$I$657,$A$8:$A$657,A621)))</f>
        <v/>
      </c>
      <c r="K621" s="8" t="str">
        <f>IF(J621="","",IF(SUMIFS('Facturas y gastos'!$D$10:$D$13,'Facturas y gastos'!$A$10:$A$13,A621)=0,"",J621*SUMIFS('Facturas y gastos'!$G$10:$G$13,'Facturas y gastos'!$A$10:$A$13,A621)/SUMIFS('Facturas y gastos'!$D$10:$D$13,'Facturas y gastos'!$A$10:$A$13,A621)))</f>
        <v/>
      </c>
      <c r="L621" s="8" t="str">
        <f>IF(J621="","",IF(SUMIFS('Facturas y gastos'!$D$10:$D$13,'Facturas y gastos'!$A$10:$A$13,A621)=0,"",J621*SUMIFS('Facturas y gastos'!$H$10:$H$13,'Facturas y gastos'!$A$10:$A$13,A621)/SUMIFS('Facturas y gastos'!$D$10:$D$13,'Facturas y gastos'!$A$10:$A$13,A621)))</f>
        <v/>
      </c>
      <c r="M621" s="8" t="str">
        <f>IF(J621="","",IF(SUMIFS('Facturas y gastos'!$D$10:$D$13,'Facturas y gastos'!$A$10:$A$13,A621)=0,"",J621*SUMIFS('Facturas y gastos'!$I$10:$I$13,'Facturas y gastos'!$A$10:$A$13,A621)/SUMIFS('Facturas y gastos'!$D$10:$D$13,'Facturas y gastos'!$A$10:$A$13,A621)))</f>
        <v/>
      </c>
      <c r="N621" s="8" t="str">
        <f>IF(J621="","",IF(SUMIFS('Facturas y gastos'!$D$10:$D$13,'Facturas y gastos'!$A$10:$A$13,A621)=0,"",J621*SUMIFS('Facturas y gastos'!$J$10:$J$13,'Facturas y gastos'!$A$10:$A$13,A621)/SUMIFS('Facturas y gastos'!$D$10:$D$13,'Facturas y gastos'!$A$10:$A$13,A621)))</f>
        <v/>
      </c>
      <c r="O621" s="8" t="str">
        <f t="shared" si="18"/>
        <v/>
      </c>
      <c r="P621" s="8" t="str">
        <f>IF(OR(O621="",'Facturas y gastos'!$B$24="",'Facturas y gastos'!$B$45&lt;&gt;"OK",SUM($O$8:$O$657)=0),"",O621*'Facturas y gastos'!$B$43/SUM($O$8:$O$657))</f>
        <v/>
      </c>
      <c r="Q621" s="8" t="str">
        <f>IF(OR(O621="",'Facturas y gastos'!$B$5="",P621=""),"",O621*'Facturas y gastos'!$B$5+P621)</f>
        <v/>
      </c>
      <c r="R621" s="8" t="str">
        <f t="shared" si="19"/>
        <v/>
      </c>
    </row>
    <row r="622" spans="1:18">
      <c r="A622" s="20"/>
      <c r="B622" s="20"/>
      <c r="C622" s="20"/>
      <c r="D622" s="20"/>
      <c r="E622" s="20"/>
      <c r="F622" s="30"/>
      <c r="G622" s="30"/>
      <c r="H622" s="21"/>
      <c r="I622" s="21"/>
      <c r="J622" s="8" t="str">
        <f>IF(OR(A622="",I622=""),"",IF(SUMIFS($I$8:$I$657,$A$8:$A$657,A622)=0,"",I622*SUMIFS('Facturas y gastos'!$D$10:$D$13,'Facturas y gastos'!$A$10:$A$13,A622)/SUMIFS($I$8:$I$657,$A$8:$A$657,A622)))</f>
        <v/>
      </c>
      <c r="K622" s="8" t="str">
        <f>IF(J622="","",IF(SUMIFS('Facturas y gastos'!$D$10:$D$13,'Facturas y gastos'!$A$10:$A$13,A622)=0,"",J622*SUMIFS('Facturas y gastos'!$G$10:$G$13,'Facturas y gastos'!$A$10:$A$13,A622)/SUMIFS('Facturas y gastos'!$D$10:$D$13,'Facturas y gastos'!$A$10:$A$13,A622)))</f>
        <v/>
      </c>
      <c r="L622" s="8" t="str">
        <f>IF(J622="","",IF(SUMIFS('Facturas y gastos'!$D$10:$D$13,'Facturas y gastos'!$A$10:$A$13,A622)=0,"",J622*SUMIFS('Facturas y gastos'!$H$10:$H$13,'Facturas y gastos'!$A$10:$A$13,A622)/SUMIFS('Facturas y gastos'!$D$10:$D$13,'Facturas y gastos'!$A$10:$A$13,A622)))</f>
        <v/>
      </c>
      <c r="M622" s="8" t="str">
        <f>IF(J622="","",IF(SUMIFS('Facturas y gastos'!$D$10:$D$13,'Facturas y gastos'!$A$10:$A$13,A622)=0,"",J622*SUMIFS('Facturas y gastos'!$I$10:$I$13,'Facturas y gastos'!$A$10:$A$13,A622)/SUMIFS('Facturas y gastos'!$D$10:$D$13,'Facturas y gastos'!$A$10:$A$13,A622)))</f>
        <v/>
      </c>
      <c r="N622" s="8" t="str">
        <f>IF(J622="","",IF(SUMIFS('Facturas y gastos'!$D$10:$D$13,'Facturas y gastos'!$A$10:$A$13,A622)=0,"",J622*SUMIFS('Facturas y gastos'!$J$10:$J$13,'Facturas y gastos'!$A$10:$A$13,A622)/SUMIFS('Facturas y gastos'!$D$10:$D$13,'Facturas y gastos'!$A$10:$A$13,A622)))</f>
        <v/>
      </c>
      <c r="O622" s="8" t="str">
        <f t="shared" si="18"/>
        <v/>
      </c>
      <c r="P622" s="8" t="str">
        <f>IF(OR(O622="",'Facturas y gastos'!$B$24="",'Facturas y gastos'!$B$45&lt;&gt;"OK",SUM($O$8:$O$657)=0),"",O622*'Facturas y gastos'!$B$43/SUM($O$8:$O$657))</f>
        <v/>
      </c>
      <c r="Q622" s="8" t="str">
        <f>IF(OR(O622="",'Facturas y gastos'!$B$5="",P622=""),"",O622*'Facturas y gastos'!$B$5+P622)</f>
        <v/>
      </c>
      <c r="R622" s="8" t="str">
        <f t="shared" si="19"/>
        <v/>
      </c>
    </row>
    <row r="623" spans="1:18">
      <c r="A623" s="20"/>
      <c r="B623" s="20"/>
      <c r="C623" s="20"/>
      <c r="D623" s="20"/>
      <c r="E623" s="20"/>
      <c r="F623" s="30"/>
      <c r="G623" s="30"/>
      <c r="H623" s="21"/>
      <c r="I623" s="21"/>
      <c r="J623" s="8" t="str">
        <f>IF(OR(A623="",I623=""),"",IF(SUMIFS($I$8:$I$657,$A$8:$A$657,A623)=0,"",I623*SUMIFS('Facturas y gastos'!$D$10:$D$13,'Facturas y gastos'!$A$10:$A$13,A623)/SUMIFS($I$8:$I$657,$A$8:$A$657,A623)))</f>
        <v/>
      </c>
      <c r="K623" s="8" t="str">
        <f>IF(J623="","",IF(SUMIFS('Facturas y gastos'!$D$10:$D$13,'Facturas y gastos'!$A$10:$A$13,A623)=0,"",J623*SUMIFS('Facturas y gastos'!$G$10:$G$13,'Facturas y gastos'!$A$10:$A$13,A623)/SUMIFS('Facturas y gastos'!$D$10:$D$13,'Facturas y gastos'!$A$10:$A$13,A623)))</f>
        <v/>
      </c>
      <c r="L623" s="8" t="str">
        <f>IF(J623="","",IF(SUMIFS('Facturas y gastos'!$D$10:$D$13,'Facturas y gastos'!$A$10:$A$13,A623)=0,"",J623*SUMIFS('Facturas y gastos'!$H$10:$H$13,'Facturas y gastos'!$A$10:$A$13,A623)/SUMIFS('Facturas y gastos'!$D$10:$D$13,'Facturas y gastos'!$A$10:$A$13,A623)))</f>
        <v/>
      </c>
      <c r="M623" s="8" t="str">
        <f>IF(J623="","",IF(SUMIFS('Facturas y gastos'!$D$10:$D$13,'Facturas y gastos'!$A$10:$A$13,A623)=0,"",J623*SUMIFS('Facturas y gastos'!$I$10:$I$13,'Facturas y gastos'!$A$10:$A$13,A623)/SUMIFS('Facturas y gastos'!$D$10:$D$13,'Facturas y gastos'!$A$10:$A$13,A623)))</f>
        <v/>
      </c>
      <c r="N623" s="8" t="str">
        <f>IF(J623="","",IF(SUMIFS('Facturas y gastos'!$D$10:$D$13,'Facturas y gastos'!$A$10:$A$13,A623)=0,"",J623*SUMIFS('Facturas y gastos'!$J$10:$J$13,'Facturas y gastos'!$A$10:$A$13,A623)/SUMIFS('Facturas y gastos'!$D$10:$D$13,'Facturas y gastos'!$A$10:$A$13,A623)))</f>
        <v/>
      </c>
      <c r="O623" s="8" t="str">
        <f t="shared" si="18"/>
        <v/>
      </c>
      <c r="P623" s="8" t="str">
        <f>IF(OR(O623="",'Facturas y gastos'!$B$24="",'Facturas y gastos'!$B$45&lt;&gt;"OK",SUM($O$8:$O$657)=0),"",O623*'Facturas y gastos'!$B$43/SUM($O$8:$O$657))</f>
        <v/>
      </c>
      <c r="Q623" s="8" t="str">
        <f>IF(OR(O623="",'Facturas y gastos'!$B$5="",P623=""),"",O623*'Facturas y gastos'!$B$5+P623)</f>
        <v/>
      </c>
      <c r="R623" s="8" t="str">
        <f t="shared" si="19"/>
        <v/>
      </c>
    </row>
    <row r="624" spans="1:18">
      <c r="A624" s="20"/>
      <c r="B624" s="20"/>
      <c r="C624" s="20"/>
      <c r="D624" s="20"/>
      <c r="E624" s="20"/>
      <c r="F624" s="30"/>
      <c r="G624" s="30"/>
      <c r="H624" s="21"/>
      <c r="I624" s="21"/>
      <c r="J624" s="8" t="str">
        <f>IF(OR(A624="",I624=""),"",IF(SUMIFS($I$8:$I$657,$A$8:$A$657,A624)=0,"",I624*SUMIFS('Facturas y gastos'!$D$10:$D$13,'Facturas y gastos'!$A$10:$A$13,A624)/SUMIFS($I$8:$I$657,$A$8:$A$657,A624)))</f>
        <v/>
      </c>
      <c r="K624" s="8" t="str">
        <f>IF(J624="","",IF(SUMIFS('Facturas y gastos'!$D$10:$D$13,'Facturas y gastos'!$A$10:$A$13,A624)=0,"",J624*SUMIFS('Facturas y gastos'!$G$10:$G$13,'Facturas y gastos'!$A$10:$A$13,A624)/SUMIFS('Facturas y gastos'!$D$10:$D$13,'Facturas y gastos'!$A$10:$A$13,A624)))</f>
        <v/>
      </c>
      <c r="L624" s="8" t="str">
        <f>IF(J624="","",IF(SUMIFS('Facturas y gastos'!$D$10:$D$13,'Facturas y gastos'!$A$10:$A$13,A624)=0,"",J624*SUMIFS('Facturas y gastos'!$H$10:$H$13,'Facturas y gastos'!$A$10:$A$13,A624)/SUMIFS('Facturas y gastos'!$D$10:$D$13,'Facturas y gastos'!$A$10:$A$13,A624)))</f>
        <v/>
      </c>
      <c r="M624" s="8" t="str">
        <f>IF(J624="","",IF(SUMIFS('Facturas y gastos'!$D$10:$D$13,'Facturas y gastos'!$A$10:$A$13,A624)=0,"",J624*SUMIFS('Facturas y gastos'!$I$10:$I$13,'Facturas y gastos'!$A$10:$A$13,A624)/SUMIFS('Facturas y gastos'!$D$10:$D$13,'Facturas y gastos'!$A$10:$A$13,A624)))</f>
        <v/>
      </c>
      <c r="N624" s="8" t="str">
        <f>IF(J624="","",IF(SUMIFS('Facturas y gastos'!$D$10:$D$13,'Facturas y gastos'!$A$10:$A$13,A624)=0,"",J624*SUMIFS('Facturas y gastos'!$J$10:$J$13,'Facturas y gastos'!$A$10:$A$13,A624)/SUMIFS('Facturas y gastos'!$D$10:$D$13,'Facturas y gastos'!$A$10:$A$13,A624)))</f>
        <v/>
      </c>
      <c r="O624" s="8" t="str">
        <f t="shared" si="18"/>
        <v/>
      </c>
      <c r="P624" s="8" t="str">
        <f>IF(OR(O624="",'Facturas y gastos'!$B$24="",'Facturas y gastos'!$B$45&lt;&gt;"OK",SUM($O$8:$O$657)=0),"",O624*'Facturas y gastos'!$B$43/SUM($O$8:$O$657))</f>
        <v/>
      </c>
      <c r="Q624" s="8" t="str">
        <f>IF(OR(O624="",'Facturas y gastos'!$B$5="",P624=""),"",O624*'Facturas y gastos'!$B$5+P624)</f>
        <v/>
      </c>
      <c r="R624" s="8" t="str">
        <f t="shared" si="19"/>
        <v/>
      </c>
    </row>
    <row r="625" spans="1:18">
      <c r="A625" s="20"/>
      <c r="B625" s="20"/>
      <c r="C625" s="20"/>
      <c r="D625" s="20"/>
      <c r="E625" s="20"/>
      <c r="F625" s="30"/>
      <c r="G625" s="30"/>
      <c r="H625" s="21"/>
      <c r="I625" s="21"/>
      <c r="J625" s="8" t="str">
        <f>IF(OR(A625="",I625=""),"",IF(SUMIFS($I$8:$I$657,$A$8:$A$657,A625)=0,"",I625*SUMIFS('Facturas y gastos'!$D$10:$D$13,'Facturas y gastos'!$A$10:$A$13,A625)/SUMIFS($I$8:$I$657,$A$8:$A$657,A625)))</f>
        <v/>
      </c>
      <c r="K625" s="8" t="str">
        <f>IF(J625="","",IF(SUMIFS('Facturas y gastos'!$D$10:$D$13,'Facturas y gastos'!$A$10:$A$13,A625)=0,"",J625*SUMIFS('Facturas y gastos'!$G$10:$G$13,'Facturas y gastos'!$A$10:$A$13,A625)/SUMIFS('Facturas y gastos'!$D$10:$D$13,'Facturas y gastos'!$A$10:$A$13,A625)))</f>
        <v/>
      </c>
      <c r="L625" s="8" t="str">
        <f>IF(J625="","",IF(SUMIFS('Facturas y gastos'!$D$10:$D$13,'Facturas y gastos'!$A$10:$A$13,A625)=0,"",J625*SUMIFS('Facturas y gastos'!$H$10:$H$13,'Facturas y gastos'!$A$10:$A$13,A625)/SUMIFS('Facturas y gastos'!$D$10:$D$13,'Facturas y gastos'!$A$10:$A$13,A625)))</f>
        <v/>
      </c>
      <c r="M625" s="8" t="str">
        <f>IF(J625="","",IF(SUMIFS('Facturas y gastos'!$D$10:$D$13,'Facturas y gastos'!$A$10:$A$13,A625)=0,"",J625*SUMIFS('Facturas y gastos'!$I$10:$I$13,'Facturas y gastos'!$A$10:$A$13,A625)/SUMIFS('Facturas y gastos'!$D$10:$D$13,'Facturas y gastos'!$A$10:$A$13,A625)))</f>
        <v/>
      </c>
      <c r="N625" s="8" t="str">
        <f>IF(J625="","",IF(SUMIFS('Facturas y gastos'!$D$10:$D$13,'Facturas y gastos'!$A$10:$A$13,A625)=0,"",J625*SUMIFS('Facturas y gastos'!$J$10:$J$13,'Facturas y gastos'!$A$10:$A$13,A625)/SUMIFS('Facturas y gastos'!$D$10:$D$13,'Facturas y gastos'!$A$10:$A$13,A625)))</f>
        <v/>
      </c>
      <c r="O625" s="8" t="str">
        <f t="shared" si="18"/>
        <v/>
      </c>
      <c r="P625" s="8" t="str">
        <f>IF(OR(O625="",'Facturas y gastos'!$B$24="",'Facturas y gastos'!$B$45&lt;&gt;"OK",SUM($O$8:$O$657)=0),"",O625*'Facturas y gastos'!$B$43/SUM($O$8:$O$657))</f>
        <v/>
      </c>
      <c r="Q625" s="8" t="str">
        <f>IF(OR(O625="",'Facturas y gastos'!$B$5="",P625=""),"",O625*'Facturas y gastos'!$B$5+P625)</f>
        <v/>
      </c>
      <c r="R625" s="8" t="str">
        <f t="shared" si="19"/>
        <v/>
      </c>
    </row>
    <row r="626" spans="1:18">
      <c r="A626" s="20"/>
      <c r="B626" s="20"/>
      <c r="C626" s="20"/>
      <c r="D626" s="20"/>
      <c r="E626" s="20"/>
      <c r="F626" s="30"/>
      <c r="G626" s="30"/>
      <c r="H626" s="21"/>
      <c r="I626" s="21"/>
      <c r="J626" s="8" t="str">
        <f>IF(OR(A626="",I626=""),"",IF(SUMIFS($I$8:$I$657,$A$8:$A$657,A626)=0,"",I626*SUMIFS('Facturas y gastos'!$D$10:$D$13,'Facturas y gastos'!$A$10:$A$13,A626)/SUMIFS($I$8:$I$657,$A$8:$A$657,A626)))</f>
        <v/>
      </c>
      <c r="K626" s="8" t="str">
        <f>IF(J626="","",IF(SUMIFS('Facturas y gastos'!$D$10:$D$13,'Facturas y gastos'!$A$10:$A$13,A626)=0,"",J626*SUMIFS('Facturas y gastos'!$G$10:$G$13,'Facturas y gastos'!$A$10:$A$13,A626)/SUMIFS('Facturas y gastos'!$D$10:$D$13,'Facturas y gastos'!$A$10:$A$13,A626)))</f>
        <v/>
      </c>
      <c r="L626" s="8" t="str">
        <f>IF(J626="","",IF(SUMIFS('Facturas y gastos'!$D$10:$D$13,'Facturas y gastos'!$A$10:$A$13,A626)=0,"",J626*SUMIFS('Facturas y gastos'!$H$10:$H$13,'Facturas y gastos'!$A$10:$A$13,A626)/SUMIFS('Facturas y gastos'!$D$10:$D$13,'Facturas y gastos'!$A$10:$A$13,A626)))</f>
        <v/>
      </c>
      <c r="M626" s="8" t="str">
        <f>IF(J626="","",IF(SUMIFS('Facturas y gastos'!$D$10:$D$13,'Facturas y gastos'!$A$10:$A$13,A626)=0,"",J626*SUMIFS('Facturas y gastos'!$I$10:$I$13,'Facturas y gastos'!$A$10:$A$13,A626)/SUMIFS('Facturas y gastos'!$D$10:$D$13,'Facturas y gastos'!$A$10:$A$13,A626)))</f>
        <v/>
      </c>
      <c r="N626" s="8" t="str">
        <f>IF(J626="","",IF(SUMIFS('Facturas y gastos'!$D$10:$D$13,'Facturas y gastos'!$A$10:$A$13,A626)=0,"",J626*SUMIFS('Facturas y gastos'!$J$10:$J$13,'Facturas y gastos'!$A$10:$A$13,A626)/SUMIFS('Facturas y gastos'!$D$10:$D$13,'Facturas y gastos'!$A$10:$A$13,A626)))</f>
        <v/>
      </c>
      <c r="O626" s="8" t="str">
        <f t="shared" si="18"/>
        <v/>
      </c>
      <c r="P626" s="8" t="str">
        <f>IF(OR(O626="",'Facturas y gastos'!$B$24="",'Facturas y gastos'!$B$45&lt;&gt;"OK",SUM($O$8:$O$657)=0),"",O626*'Facturas y gastos'!$B$43/SUM($O$8:$O$657))</f>
        <v/>
      </c>
      <c r="Q626" s="8" t="str">
        <f>IF(OR(O626="",'Facturas y gastos'!$B$5="",P626=""),"",O626*'Facturas y gastos'!$B$5+P626)</f>
        <v/>
      </c>
      <c r="R626" s="8" t="str">
        <f t="shared" si="19"/>
        <v/>
      </c>
    </row>
    <row r="627" spans="1:18">
      <c r="A627" s="20"/>
      <c r="B627" s="20"/>
      <c r="C627" s="20"/>
      <c r="D627" s="20"/>
      <c r="E627" s="20"/>
      <c r="F627" s="30"/>
      <c r="G627" s="30"/>
      <c r="H627" s="21"/>
      <c r="I627" s="21"/>
      <c r="J627" s="8" t="str">
        <f>IF(OR(A627="",I627=""),"",IF(SUMIFS($I$8:$I$657,$A$8:$A$657,A627)=0,"",I627*SUMIFS('Facturas y gastos'!$D$10:$D$13,'Facturas y gastos'!$A$10:$A$13,A627)/SUMIFS($I$8:$I$657,$A$8:$A$657,A627)))</f>
        <v/>
      </c>
      <c r="K627" s="8" t="str">
        <f>IF(J627="","",IF(SUMIFS('Facturas y gastos'!$D$10:$D$13,'Facturas y gastos'!$A$10:$A$13,A627)=0,"",J627*SUMIFS('Facturas y gastos'!$G$10:$G$13,'Facturas y gastos'!$A$10:$A$13,A627)/SUMIFS('Facturas y gastos'!$D$10:$D$13,'Facturas y gastos'!$A$10:$A$13,A627)))</f>
        <v/>
      </c>
      <c r="L627" s="8" t="str">
        <f>IF(J627="","",IF(SUMIFS('Facturas y gastos'!$D$10:$D$13,'Facturas y gastos'!$A$10:$A$13,A627)=0,"",J627*SUMIFS('Facturas y gastos'!$H$10:$H$13,'Facturas y gastos'!$A$10:$A$13,A627)/SUMIFS('Facturas y gastos'!$D$10:$D$13,'Facturas y gastos'!$A$10:$A$13,A627)))</f>
        <v/>
      </c>
      <c r="M627" s="8" t="str">
        <f>IF(J627="","",IF(SUMIFS('Facturas y gastos'!$D$10:$D$13,'Facturas y gastos'!$A$10:$A$13,A627)=0,"",J627*SUMIFS('Facturas y gastos'!$I$10:$I$13,'Facturas y gastos'!$A$10:$A$13,A627)/SUMIFS('Facturas y gastos'!$D$10:$D$13,'Facturas y gastos'!$A$10:$A$13,A627)))</f>
        <v/>
      </c>
      <c r="N627" s="8" t="str">
        <f>IF(J627="","",IF(SUMIFS('Facturas y gastos'!$D$10:$D$13,'Facturas y gastos'!$A$10:$A$13,A627)=0,"",J627*SUMIFS('Facturas y gastos'!$J$10:$J$13,'Facturas y gastos'!$A$10:$A$13,A627)/SUMIFS('Facturas y gastos'!$D$10:$D$13,'Facturas y gastos'!$A$10:$A$13,A627)))</f>
        <v/>
      </c>
      <c r="O627" s="8" t="str">
        <f t="shared" si="18"/>
        <v/>
      </c>
      <c r="P627" s="8" t="str">
        <f>IF(OR(O627="",'Facturas y gastos'!$B$24="",'Facturas y gastos'!$B$45&lt;&gt;"OK",SUM($O$8:$O$657)=0),"",O627*'Facturas y gastos'!$B$43/SUM($O$8:$O$657))</f>
        <v/>
      </c>
      <c r="Q627" s="8" t="str">
        <f>IF(OR(O627="",'Facturas y gastos'!$B$5="",P627=""),"",O627*'Facturas y gastos'!$B$5+P627)</f>
        <v/>
      </c>
      <c r="R627" s="8" t="str">
        <f t="shared" si="19"/>
        <v/>
      </c>
    </row>
    <row r="628" spans="1:18">
      <c r="A628" s="20"/>
      <c r="B628" s="20"/>
      <c r="C628" s="20"/>
      <c r="D628" s="20"/>
      <c r="E628" s="20"/>
      <c r="F628" s="30"/>
      <c r="G628" s="30"/>
      <c r="H628" s="21"/>
      <c r="I628" s="21"/>
      <c r="J628" s="8" t="str">
        <f>IF(OR(A628="",I628=""),"",IF(SUMIFS($I$8:$I$657,$A$8:$A$657,A628)=0,"",I628*SUMIFS('Facturas y gastos'!$D$10:$D$13,'Facturas y gastos'!$A$10:$A$13,A628)/SUMIFS($I$8:$I$657,$A$8:$A$657,A628)))</f>
        <v/>
      </c>
      <c r="K628" s="8" t="str">
        <f>IF(J628="","",IF(SUMIFS('Facturas y gastos'!$D$10:$D$13,'Facturas y gastos'!$A$10:$A$13,A628)=0,"",J628*SUMIFS('Facturas y gastos'!$G$10:$G$13,'Facturas y gastos'!$A$10:$A$13,A628)/SUMIFS('Facturas y gastos'!$D$10:$D$13,'Facturas y gastos'!$A$10:$A$13,A628)))</f>
        <v/>
      </c>
      <c r="L628" s="8" t="str">
        <f>IF(J628="","",IF(SUMIFS('Facturas y gastos'!$D$10:$D$13,'Facturas y gastos'!$A$10:$A$13,A628)=0,"",J628*SUMIFS('Facturas y gastos'!$H$10:$H$13,'Facturas y gastos'!$A$10:$A$13,A628)/SUMIFS('Facturas y gastos'!$D$10:$D$13,'Facturas y gastos'!$A$10:$A$13,A628)))</f>
        <v/>
      </c>
      <c r="M628" s="8" t="str">
        <f>IF(J628="","",IF(SUMIFS('Facturas y gastos'!$D$10:$D$13,'Facturas y gastos'!$A$10:$A$13,A628)=0,"",J628*SUMIFS('Facturas y gastos'!$I$10:$I$13,'Facturas y gastos'!$A$10:$A$13,A628)/SUMIFS('Facturas y gastos'!$D$10:$D$13,'Facturas y gastos'!$A$10:$A$13,A628)))</f>
        <v/>
      </c>
      <c r="N628" s="8" t="str">
        <f>IF(J628="","",IF(SUMIFS('Facturas y gastos'!$D$10:$D$13,'Facturas y gastos'!$A$10:$A$13,A628)=0,"",J628*SUMIFS('Facturas y gastos'!$J$10:$J$13,'Facturas y gastos'!$A$10:$A$13,A628)/SUMIFS('Facturas y gastos'!$D$10:$D$13,'Facturas y gastos'!$A$10:$A$13,A628)))</f>
        <v/>
      </c>
      <c r="O628" s="8" t="str">
        <f t="shared" si="18"/>
        <v/>
      </c>
      <c r="P628" s="8" t="str">
        <f>IF(OR(O628="",'Facturas y gastos'!$B$24="",'Facturas y gastos'!$B$45&lt;&gt;"OK",SUM($O$8:$O$657)=0),"",O628*'Facturas y gastos'!$B$43/SUM($O$8:$O$657))</f>
        <v/>
      </c>
      <c r="Q628" s="8" t="str">
        <f>IF(OR(O628="",'Facturas y gastos'!$B$5="",P628=""),"",O628*'Facturas y gastos'!$B$5+P628)</f>
        <v/>
      </c>
      <c r="R628" s="8" t="str">
        <f t="shared" si="19"/>
        <v/>
      </c>
    </row>
    <row r="629" spans="1:18">
      <c r="A629" s="20"/>
      <c r="B629" s="20"/>
      <c r="C629" s="20"/>
      <c r="D629" s="20"/>
      <c r="E629" s="20"/>
      <c r="F629" s="30"/>
      <c r="G629" s="30"/>
      <c r="H629" s="21"/>
      <c r="I629" s="21"/>
      <c r="J629" s="8" t="str">
        <f>IF(OR(A629="",I629=""),"",IF(SUMIFS($I$8:$I$657,$A$8:$A$657,A629)=0,"",I629*SUMIFS('Facturas y gastos'!$D$10:$D$13,'Facturas y gastos'!$A$10:$A$13,A629)/SUMIFS($I$8:$I$657,$A$8:$A$657,A629)))</f>
        <v/>
      </c>
      <c r="K629" s="8" t="str">
        <f>IF(J629="","",IF(SUMIFS('Facturas y gastos'!$D$10:$D$13,'Facturas y gastos'!$A$10:$A$13,A629)=0,"",J629*SUMIFS('Facturas y gastos'!$G$10:$G$13,'Facturas y gastos'!$A$10:$A$13,A629)/SUMIFS('Facturas y gastos'!$D$10:$D$13,'Facturas y gastos'!$A$10:$A$13,A629)))</f>
        <v/>
      </c>
      <c r="L629" s="8" t="str">
        <f>IF(J629="","",IF(SUMIFS('Facturas y gastos'!$D$10:$D$13,'Facturas y gastos'!$A$10:$A$13,A629)=0,"",J629*SUMIFS('Facturas y gastos'!$H$10:$H$13,'Facturas y gastos'!$A$10:$A$13,A629)/SUMIFS('Facturas y gastos'!$D$10:$D$13,'Facturas y gastos'!$A$10:$A$13,A629)))</f>
        <v/>
      </c>
      <c r="M629" s="8" t="str">
        <f>IF(J629="","",IF(SUMIFS('Facturas y gastos'!$D$10:$D$13,'Facturas y gastos'!$A$10:$A$13,A629)=0,"",J629*SUMIFS('Facturas y gastos'!$I$10:$I$13,'Facturas y gastos'!$A$10:$A$13,A629)/SUMIFS('Facturas y gastos'!$D$10:$D$13,'Facturas y gastos'!$A$10:$A$13,A629)))</f>
        <v/>
      </c>
      <c r="N629" s="8" t="str">
        <f>IF(J629="","",IF(SUMIFS('Facturas y gastos'!$D$10:$D$13,'Facturas y gastos'!$A$10:$A$13,A629)=0,"",J629*SUMIFS('Facturas y gastos'!$J$10:$J$13,'Facturas y gastos'!$A$10:$A$13,A629)/SUMIFS('Facturas y gastos'!$D$10:$D$13,'Facturas y gastos'!$A$10:$A$13,A629)))</f>
        <v/>
      </c>
      <c r="O629" s="8" t="str">
        <f t="shared" si="18"/>
        <v/>
      </c>
      <c r="P629" s="8" t="str">
        <f>IF(OR(O629="",'Facturas y gastos'!$B$24="",'Facturas y gastos'!$B$45&lt;&gt;"OK",SUM($O$8:$O$657)=0),"",O629*'Facturas y gastos'!$B$43/SUM($O$8:$O$657))</f>
        <v/>
      </c>
      <c r="Q629" s="8" t="str">
        <f>IF(OR(O629="",'Facturas y gastos'!$B$5="",P629=""),"",O629*'Facturas y gastos'!$B$5+P629)</f>
        <v/>
      </c>
      <c r="R629" s="8" t="str">
        <f t="shared" si="19"/>
        <v/>
      </c>
    </row>
    <row r="630" spans="1:18">
      <c r="A630" s="20"/>
      <c r="B630" s="20"/>
      <c r="C630" s="20"/>
      <c r="D630" s="20"/>
      <c r="E630" s="20"/>
      <c r="F630" s="30"/>
      <c r="G630" s="30"/>
      <c r="H630" s="21"/>
      <c r="I630" s="21"/>
      <c r="J630" s="8" t="str">
        <f>IF(OR(A630="",I630=""),"",IF(SUMIFS($I$8:$I$657,$A$8:$A$657,A630)=0,"",I630*SUMIFS('Facturas y gastos'!$D$10:$D$13,'Facturas y gastos'!$A$10:$A$13,A630)/SUMIFS($I$8:$I$657,$A$8:$A$657,A630)))</f>
        <v/>
      </c>
      <c r="K630" s="8" t="str">
        <f>IF(J630="","",IF(SUMIFS('Facturas y gastos'!$D$10:$D$13,'Facturas y gastos'!$A$10:$A$13,A630)=0,"",J630*SUMIFS('Facturas y gastos'!$G$10:$G$13,'Facturas y gastos'!$A$10:$A$13,A630)/SUMIFS('Facturas y gastos'!$D$10:$D$13,'Facturas y gastos'!$A$10:$A$13,A630)))</f>
        <v/>
      </c>
      <c r="L630" s="8" t="str">
        <f>IF(J630="","",IF(SUMIFS('Facturas y gastos'!$D$10:$D$13,'Facturas y gastos'!$A$10:$A$13,A630)=0,"",J630*SUMIFS('Facturas y gastos'!$H$10:$H$13,'Facturas y gastos'!$A$10:$A$13,A630)/SUMIFS('Facturas y gastos'!$D$10:$D$13,'Facturas y gastos'!$A$10:$A$13,A630)))</f>
        <v/>
      </c>
      <c r="M630" s="8" t="str">
        <f>IF(J630="","",IF(SUMIFS('Facturas y gastos'!$D$10:$D$13,'Facturas y gastos'!$A$10:$A$13,A630)=0,"",J630*SUMIFS('Facturas y gastos'!$I$10:$I$13,'Facturas y gastos'!$A$10:$A$13,A630)/SUMIFS('Facturas y gastos'!$D$10:$D$13,'Facturas y gastos'!$A$10:$A$13,A630)))</f>
        <v/>
      </c>
      <c r="N630" s="8" t="str">
        <f>IF(J630="","",IF(SUMIFS('Facturas y gastos'!$D$10:$D$13,'Facturas y gastos'!$A$10:$A$13,A630)=0,"",J630*SUMIFS('Facturas y gastos'!$J$10:$J$13,'Facturas y gastos'!$A$10:$A$13,A630)/SUMIFS('Facturas y gastos'!$D$10:$D$13,'Facturas y gastos'!$A$10:$A$13,A630)))</f>
        <v/>
      </c>
      <c r="O630" s="8" t="str">
        <f t="shared" si="18"/>
        <v/>
      </c>
      <c r="P630" s="8" t="str">
        <f>IF(OR(O630="",'Facturas y gastos'!$B$24="",'Facturas y gastos'!$B$45&lt;&gt;"OK",SUM($O$8:$O$657)=0),"",O630*'Facturas y gastos'!$B$43/SUM($O$8:$O$657))</f>
        <v/>
      </c>
      <c r="Q630" s="8" t="str">
        <f>IF(OR(O630="",'Facturas y gastos'!$B$5="",P630=""),"",O630*'Facturas y gastos'!$B$5+P630)</f>
        <v/>
      </c>
      <c r="R630" s="8" t="str">
        <f t="shared" si="19"/>
        <v/>
      </c>
    </row>
    <row r="631" spans="1:18">
      <c r="A631" s="20"/>
      <c r="B631" s="20"/>
      <c r="C631" s="20"/>
      <c r="D631" s="20"/>
      <c r="E631" s="20"/>
      <c r="F631" s="30"/>
      <c r="G631" s="30"/>
      <c r="H631" s="21"/>
      <c r="I631" s="21"/>
      <c r="J631" s="8" t="str">
        <f>IF(OR(A631="",I631=""),"",IF(SUMIFS($I$8:$I$657,$A$8:$A$657,A631)=0,"",I631*SUMIFS('Facturas y gastos'!$D$10:$D$13,'Facturas y gastos'!$A$10:$A$13,A631)/SUMIFS($I$8:$I$657,$A$8:$A$657,A631)))</f>
        <v/>
      </c>
      <c r="K631" s="8" t="str">
        <f>IF(J631="","",IF(SUMIFS('Facturas y gastos'!$D$10:$D$13,'Facturas y gastos'!$A$10:$A$13,A631)=0,"",J631*SUMIFS('Facturas y gastos'!$G$10:$G$13,'Facturas y gastos'!$A$10:$A$13,A631)/SUMIFS('Facturas y gastos'!$D$10:$D$13,'Facturas y gastos'!$A$10:$A$13,A631)))</f>
        <v/>
      </c>
      <c r="L631" s="8" t="str">
        <f>IF(J631="","",IF(SUMIFS('Facturas y gastos'!$D$10:$D$13,'Facturas y gastos'!$A$10:$A$13,A631)=0,"",J631*SUMIFS('Facturas y gastos'!$H$10:$H$13,'Facturas y gastos'!$A$10:$A$13,A631)/SUMIFS('Facturas y gastos'!$D$10:$D$13,'Facturas y gastos'!$A$10:$A$13,A631)))</f>
        <v/>
      </c>
      <c r="M631" s="8" t="str">
        <f>IF(J631="","",IF(SUMIFS('Facturas y gastos'!$D$10:$D$13,'Facturas y gastos'!$A$10:$A$13,A631)=0,"",J631*SUMIFS('Facturas y gastos'!$I$10:$I$13,'Facturas y gastos'!$A$10:$A$13,A631)/SUMIFS('Facturas y gastos'!$D$10:$D$13,'Facturas y gastos'!$A$10:$A$13,A631)))</f>
        <v/>
      </c>
      <c r="N631" s="8" t="str">
        <f>IF(J631="","",IF(SUMIFS('Facturas y gastos'!$D$10:$D$13,'Facturas y gastos'!$A$10:$A$13,A631)=0,"",J631*SUMIFS('Facturas y gastos'!$J$10:$J$13,'Facturas y gastos'!$A$10:$A$13,A631)/SUMIFS('Facturas y gastos'!$D$10:$D$13,'Facturas y gastos'!$A$10:$A$13,A631)))</f>
        <v/>
      </c>
      <c r="O631" s="8" t="str">
        <f t="shared" si="18"/>
        <v/>
      </c>
      <c r="P631" s="8" t="str">
        <f>IF(OR(O631="",'Facturas y gastos'!$B$24="",'Facturas y gastos'!$B$45&lt;&gt;"OK",SUM($O$8:$O$657)=0),"",O631*'Facturas y gastos'!$B$43/SUM($O$8:$O$657))</f>
        <v/>
      </c>
      <c r="Q631" s="8" t="str">
        <f>IF(OR(O631="",'Facturas y gastos'!$B$5="",P631=""),"",O631*'Facturas y gastos'!$B$5+P631)</f>
        <v/>
      </c>
      <c r="R631" s="8" t="str">
        <f t="shared" si="19"/>
        <v/>
      </c>
    </row>
    <row r="632" spans="1:18">
      <c r="A632" s="20"/>
      <c r="B632" s="20"/>
      <c r="C632" s="20"/>
      <c r="D632" s="20"/>
      <c r="E632" s="20"/>
      <c r="F632" s="30"/>
      <c r="G632" s="30"/>
      <c r="H632" s="21"/>
      <c r="I632" s="21"/>
      <c r="J632" s="8" t="str">
        <f>IF(OR(A632="",I632=""),"",IF(SUMIFS($I$8:$I$657,$A$8:$A$657,A632)=0,"",I632*SUMIFS('Facturas y gastos'!$D$10:$D$13,'Facturas y gastos'!$A$10:$A$13,A632)/SUMIFS($I$8:$I$657,$A$8:$A$657,A632)))</f>
        <v/>
      </c>
      <c r="K632" s="8" t="str">
        <f>IF(J632="","",IF(SUMIFS('Facturas y gastos'!$D$10:$D$13,'Facturas y gastos'!$A$10:$A$13,A632)=0,"",J632*SUMIFS('Facturas y gastos'!$G$10:$G$13,'Facturas y gastos'!$A$10:$A$13,A632)/SUMIFS('Facturas y gastos'!$D$10:$D$13,'Facturas y gastos'!$A$10:$A$13,A632)))</f>
        <v/>
      </c>
      <c r="L632" s="8" t="str">
        <f>IF(J632="","",IF(SUMIFS('Facturas y gastos'!$D$10:$D$13,'Facturas y gastos'!$A$10:$A$13,A632)=0,"",J632*SUMIFS('Facturas y gastos'!$H$10:$H$13,'Facturas y gastos'!$A$10:$A$13,A632)/SUMIFS('Facturas y gastos'!$D$10:$D$13,'Facturas y gastos'!$A$10:$A$13,A632)))</f>
        <v/>
      </c>
      <c r="M632" s="8" t="str">
        <f>IF(J632="","",IF(SUMIFS('Facturas y gastos'!$D$10:$D$13,'Facturas y gastos'!$A$10:$A$13,A632)=0,"",J632*SUMIFS('Facturas y gastos'!$I$10:$I$13,'Facturas y gastos'!$A$10:$A$13,A632)/SUMIFS('Facturas y gastos'!$D$10:$D$13,'Facturas y gastos'!$A$10:$A$13,A632)))</f>
        <v/>
      </c>
      <c r="N632" s="8" t="str">
        <f>IF(J632="","",IF(SUMIFS('Facturas y gastos'!$D$10:$D$13,'Facturas y gastos'!$A$10:$A$13,A632)=0,"",J632*SUMIFS('Facturas y gastos'!$J$10:$J$13,'Facturas y gastos'!$A$10:$A$13,A632)/SUMIFS('Facturas y gastos'!$D$10:$D$13,'Facturas y gastos'!$A$10:$A$13,A632)))</f>
        <v/>
      </c>
      <c r="O632" s="8" t="str">
        <f t="shared" si="18"/>
        <v/>
      </c>
      <c r="P632" s="8" t="str">
        <f>IF(OR(O632="",'Facturas y gastos'!$B$24="",'Facturas y gastos'!$B$45&lt;&gt;"OK",SUM($O$8:$O$657)=0),"",O632*'Facturas y gastos'!$B$43/SUM($O$8:$O$657))</f>
        <v/>
      </c>
      <c r="Q632" s="8" t="str">
        <f>IF(OR(O632="",'Facturas y gastos'!$B$5="",P632=""),"",O632*'Facturas y gastos'!$B$5+P632)</f>
        <v/>
      </c>
      <c r="R632" s="8" t="str">
        <f t="shared" si="19"/>
        <v/>
      </c>
    </row>
    <row r="633" spans="1:18">
      <c r="A633" s="20"/>
      <c r="B633" s="20"/>
      <c r="C633" s="20"/>
      <c r="D633" s="20"/>
      <c r="E633" s="20"/>
      <c r="F633" s="30"/>
      <c r="G633" s="30"/>
      <c r="H633" s="21"/>
      <c r="I633" s="21"/>
      <c r="J633" s="8" t="str">
        <f>IF(OR(A633="",I633=""),"",IF(SUMIFS($I$8:$I$657,$A$8:$A$657,A633)=0,"",I633*SUMIFS('Facturas y gastos'!$D$10:$D$13,'Facturas y gastos'!$A$10:$A$13,A633)/SUMIFS($I$8:$I$657,$A$8:$A$657,A633)))</f>
        <v/>
      </c>
      <c r="K633" s="8" t="str">
        <f>IF(J633="","",IF(SUMIFS('Facturas y gastos'!$D$10:$D$13,'Facturas y gastos'!$A$10:$A$13,A633)=0,"",J633*SUMIFS('Facturas y gastos'!$G$10:$G$13,'Facturas y gastos'!$A$10:$A$13,A633)/SUMIFS('Facturas y gastos'!$D$10:$D$13,'Facturas y gastos'!$A$10:$A$13,A633)))</f>
        <v/>
      </c>
      <c r="L633" s="8" t="str">
        <f>IF(J633="","",IF(SUMIFS('Facturas y gastos'!$D$10:$D$13,'Facturas y gastos'!$A$10:$A$13,A633)=0,"",J633*SUMIFS('Facturas y gastos'!$H$10:$H$13,'Facturas y gastos'!$A$10:$A$13,A633)/SUMIFS('Facturas y gastos'!$D$10:$D$13,'Facturas y gastos'!$A$10:$A$13,A633)))</f>
        <v/>
      </c>
      <c r="M633" s="8" t="str">
        <f>IF(J633="","",IF(SUMIFS('Facturas y gastos'!$D$10:$D$13,'Facturas y gastos'!$A$10:$A$13,A633)=0,"",J633*SUMIFS('Facturas y gastos'!$I$10:$I$13,'Facturas y gastos'!$A$10:$A$13,A633)/SUMIFS('Facturas y gastos'!$D$10:$D$13,'Facturas y gastos'!$A$10:$A$13,A633)))</f>
        <v/>
      </c>
      <c r="N633" s="8" t="str">
        <f>IF(J633="","",IF(SUMIFS('Facturas y gastos'!$D$10:$D$13,'Facturas y gastos'!$A$10:$A$13,A633)=0,"",J633*SUMIFS('Facturas y gastos'!$J$10:$J$13,'Facturas y gastos'!$A$10:$A$13,A633)/SUMIFS('Facturas y gastos'!$D$10:$D$13,'Facturas y gastos'!$A$10:$A$13,A633)))</f>
        <v/>
      </c>
      <c r="O633" s="8" t="str">
        <f t="shared" si="18"/>
        <v/>
      </c>
      <c r="P633" s="8" t="str">
        <f>IF(OR(O633="",'Facturas y gastos'!$B$24="",'Facturas y gastos'!$B$45&lt;&gt;"OK",SUM($O$8:$O$657)=0),"",O633*'Facturas y gastos'!$B$43/SUM($O$8:$O$657))</f>
        <v/>
      </c>
      <c r="Q633" s="8" t="str">
        <f>IF(OR(O633="",'Facturas y gastos'!$B$5="",P633=""),"",O633*'Facturas y gastos'!$B$5+P633)</f>
        <v/>
      </c>
      <c r="R633" s="8" t="str">
        <f t="shared" si="19"/>
        <v/>
      </c>
    </row>
    <row r="634" spans="1:18">
      <c r="A634" s="20"/>
      <c r="B634" s="20"/>
      <c r="C634" s="20"/>
      <c r="D634" s="20"/>
      <c r="E634" s="20"/>
      <c r="F634" s="30"/>
      <c r="G634" s="30"/>
      <c r="H634" s="21"/>
      <c r="I634" s="21"/>
      <c r="J634" s="8" t="str">
        <f>IF(OR(A634="",I634=""),"",IF(SUMIFS($I$8:$I$657,$A$8:$A$657,A634)=0,"",I634*SUMIFS('Facturas y gastos'!$D$10:$D$13,'Facturas y gastos'!$A$10:$A$13,A634)/SUMIFS($I$8:$I$657,$A$8:$A$657,A634)))</f>
        <v/>
      </c>
      <c r="K634" s="8" t="str">
        <f>IF(J634="","",IF(SUMIFS('Facturas y gastos'!$D$10:$D$13,'Facturas y gastos'!$A$10:$A$13,A634)=0,"",J634*SUMIFS('Facturas y gastos'!$G$10:$G$13,'Facturas y gastos'!$A$10:$A$13,A634)/SUMIFS('Facturas y gastos'!$D$10:$D$13,'Facturas y gastos'!$A$10:$A$13,A634)))</f>
        <v/>
      </c>
      <c r="L634" s="8" t="str">
        <f>IF(J634="","",IF(SUMIFS('Facturas y gastos'!$D$10:$D$13,'Facturas y gastos'!$A$10:$A$13,A634)=0,"",J634*SUMIFS('Facturas y gastos'!$H$10:$H$13,'Facturas y gastos'!$A$10:$A$13,A634)/SUMIFS('Facturas y gastos'!$D$10:$D$13,'Facturas y gastos'!$A$10:$A$13,A634)))</f>
        <v/>
      </c>
      <c r="M634" s="8" t="str">
        <f>IF(J634="","",IF(SUMIFS('Facturas y gastos'!$D$10:$D$13,'Facturas y gastos'!$A$10:$A$13,A634)=0,"",J634*SUMIFS('Facturas y gastos'!$I$10:$I$13,'Facturas y gastos'!$A$10:$A$13,A634)/SUMIFS('Facturas y gastos'!$D$10:$D$13,'Facturas y gastos'!$A$10:$A$13,A634)))</f>
        <v/>
      </c>
      <c r="N634" s="8" t="str">
        <f>IF(J634="","",IF(SUMIFS('Facturas y gastos'!$D$10:$D$13,'Facturas y gastos'!$A$10:$A$13,A634)=0,"",J634*SUMIFS('Facturas y gastos'!$J$10:$J$13,'Facturas y gastos'!$A$10:$A$13,A634)/SUMIFS('Facturas y gastos'!$D$10:$D$13,'Facturas y gastos'!$A$10:$A$13,A634)))</f>
        <v/>
      </c>
      <c r="O634" s="8" t="str">
        <f t="shared" si="18"/>
        <v/>
      </c>
      <c r="P634" s="8" t="str">
        <f>IF(OR(O634="",'Facturas y gastos'!$B$24="",'Facturas y gastos'!$B$45&lt;&gt;"OK",SUM($O$8:$O$657)=0),"",O634*'Facturas y gastos'!$B$43/SUM($O$8:$O$657))</f>
        <v/>
      </c>
      <c r="Q634" s="8" t="str">
        <f>IF(OR(O634="",'Facturas y gastos'!$B$5="",P634=""),"",O634*'Facturas y gastos'!$B$5+P634)</f>
        <v/>
      </c>
      <c r="R634" s="8" t="str">
        <f t="shared" si="19"/>
        <v/>
      </c>
    </row>
    <row r="635" spans="1:18">
      <c r="A635" s="20"/>
      <c r="B635" s="20"/>
      <c r="C635" s="20"/>
      <c r="D635" s="20"/>
      <c r="E635" s="20"/>
      <c r="F635" s="30"/>
      <c r="G635" s="30"/>
      <c r="H635" s="21"/>
      <c r="I635" s="21"/>
      <c r="J635" s="8" t="str">
        <f>IF(OR(A635="",I635=""),"",IF(SUMIFS($I$8:$I$657,$A$8:$A$657,A635)=0,"",I635*SUMIFS('Facturas y gastos'!$D$10:$D$13,'Facturas y gastos'!$A$10:$A$13,A635)/SUMIFS($I$8:$I$657,$A$8:$A$657,A635)))</f>
        <v/>
      </c>
      <c r="K635" s="8" t="str">
        <f>IF(J635="","",IF(SUMIFS('Facturas y gastos'!$D$10:$D$13,'Facturas y gastos'!$A$10:$A$13,A635)=0,"",J635*SUMIFS('Facturas y gastos'!$G$10:$G$13,'Facturas y gastos'!$A$10:$A$13,A635)/SUMIFS('Facturas y gastos'!$D$10:$D$13,'Facturas y gastos'!$A$10:$A$13,A635)))</f>
        <v/>
      </c>
      <c r="L635" s="8" t="str">
        <f>IF(J635="","",IF(SUMIFS('Facturas y gastos'!$D$10:$D$13,'Facturas y gastos'!$A$10:$A$13,A635)=0,"",J635*SUMIFS('Facturas y gastos'!$H$10:$H$13,'Facturas y gastos'!$A$10:$A$13,A635)/SUMIFS('Facturas y gastos'!$D$10:$D$13,'Facturas y gastos'!$A$10:$A$13,A635)))</f>
        <v/>
      </c>
      <c r="M635" s="8" t="str">
        <f>IF(J635="","",IF(SUMIFS('Facturas y gastos'!$D$10:$D$13,'Facturas y gastos'!$A$10:$A$13,A635)=0,"",J635*SUMIFS('Facturas y gastos'!$I$10:$I$13,'Facturas y gastos'!$A$10:$A$13,A635)/SUMIFS('Facturas y gastos'!$D$10:$D$13,'Facturas y gastos'!$A$10:$A$13,A635)))</f>
        <v/>
      </c>
      <c r="N635" s="8" t="str">
        <f>IF(J635="","",IF(SUMIFS('Facturas y gastos'!$D$10:$D$13,'Facturas y gastos'!$A$10:$A$13,A635)=0,"",J635*SUMIFS('Facturas y gastos'!$J$10:$J$13,'Facturas y gastos'!$A$10:$A$13,A635)/SUMIFS('Facturas y gastos'!$D$10:$D$13,'Facturas y gastos'!$A$10:$A$13,A635)))</f>
        <v/>
      </c>
      <c r="O635" s="8" t="str">
        <f t="shared" si="18"/>
        <v/>
      </c>
      <c r="P635" s="8" t="str">
        <f>IF(OR(O635="",'Facturas y gastos'!$B$24="",'Facturas y gastos'!$B$45&lt;&gt;"OK",SUM($O$8:$O$657)=0),"",O635*'Facturas y gastos'!$B$43/SUM($O$8:$O$657))</f>
        <v/>
      </c>
      <c r="Q635" s="8" t="str">
        <f>IF(OR(O635="",'Facturas y gastos'!$B$5="",P635=""),"",O635*'Facturas y gastos'!$B$5+P635)</f>
        <v/>
      </c>
      <c r="R635" s="8" t="str">
        <f t="shared" si="19"/>
        <v/>
      </c>
    </row>
    <row r="636" spans="1:18">
      <c r="A636" s="20"/>
      <c r="B636" s="20"/>
      <c r="C636" s="20"/>
      <c r="D636" s="20"/>
      <c r="E636" s="20"/>
      <c r="F636" s="30"/>
      <c r="G636" s="30"/>
      <c r="H636" s="21"/>
      <c r="I636" s="21"/>
      <c r="J636" s="8" t="str">
        <f>IF(OR(A636="",I636=""),"",IF(SUMIFS($I$8:$I$657,$A$8:$A$657,A636)=0,"",I636*SUMIFS('Facturas y gastos'!$D$10:$D$13,'Facturas y gastos'!$A$10:$A$13,A636)/SUMIFS($I$8:$I$657,$A$8:$A$657,A636)))</f>
        <v/>
      </c>
      <c r="K636" s="8" t="str">
        <f>IF(J636="","",IF(SUMIFS('Facturas y gastos'!$D$10:$D$13,'Facturas y gastos'!$A$10:$A$13,A636)=0,"",J636*SUMIFS('Facturas y gastos'!$G$10:$G$13,'Facturas y gastos'!$A$10:$A$13,A636)/SUMIFS('Facturas y gastos'!$D$10:$D$13,'Facturas y gastos'!$A$10:$A$13,A636)))</f>
        <v/>
      </c>
      <c r="L636" s="8" t="str">
        <f>IF(J636="","",IF(SUMIFS('Facturas y gastos'!$D$10:$D$13,'Facturas y gastos'!$A$10:$A$13,A636)=0,"",J636*SUMIFS('Facturas y gastos'!$H$10:$H$13,'Facturas y gastos'!$A$10:$A$13,A636)/SUMIFS('Facturas y gastos'!$D$10:$D$13,'Facturas y gastos'!$A$10:$A$13,A636)))</f>
        <v/>
      </c>
      <c r="M636" s="8" t="str">
        <f>IF(J636="","",IF(SUMIFS('Facturas y gastos'!$D$10:$D$13,'Facturas y gastos'!$A$10:$A$13,A636)=0,"",J636*SUMIFS('Facturas y gastos'!$I$10:$I$13,'Facturas y gastos'!$A$10:$A$13,A636)/SUMIFS('Facturas y gastos'!$D$10:$D$13,'Facturas y gastos'!$A$10:$A$13,A636)))</f>
        <v/>
      </c>
      <c r="N636" s="8" t="str">
        <f>IF(J636="","",IF(SUMIFS('Facturas y gastos'!$D$10:$D$13,'Facturas y gastos'!$A$10:$A$13,A636)=0,"",J636*SUMIFS('Facturas y gastos'!$J$10:$J$13,'Facturas y gastos'!$A$10:$A$13,A636)/SUMIFS('Facturas y gastos'!$D$10:$D$13,'Facturas y gastos'!$A$10:$A$13,A636)))</f>
        <v/>
      </c>
      <c r="O636" s="8" t="str">
        <f t="shared" si="18"/>
        <v/>
      </c>
      <c r="P636" s="8" t="str">
        <f>IF(OR(O636="",'Facturas y gastos'!$B$24="",'Facturas y gastos'!$B$45&lt;&gt;"OK",SUM($O$8:$O$657)=0),"",O636*'Facturas y gastos'!$B$43/SUM($O$8:$O$657))</f>
        <v/>
      </c>
      <c r="Q636" s="8" t="str">
        <f>IF(OR(O636="",'Facturas y gastos'!$B$5="",P636=""),"",O636*'Facturas y gastos'!$B$5+P636)</f>
        <v/>
      </c>
      <c r="R636" s="8" t="str">
        <f t="shared" si="19"/>
        <v/>
      </c>
    </row>
    <row r="637" spans="1:18">
      <c r="A637" s="20"/>
      <c r="B637" s="20"/>
      <c r="C637" s="20"/>
      <c r="D637" s="20"/>
      <c r="E637" s="20"/>
      <c r="F637" s="30"/>
      <c r="G637" s="30"/>
      <c r="H637" s="21"/>
      <c r="I637" s="21"/>
      <c r="J637" s="8" t="str">
        <f>IF(OR(A637="",I637=""),"",IF(SUMIFS($I$8:$I$657,$A$8:$A$657,A637)=0,"",I637*SUMIFS('Facturas y gastos'!$D$10:$D$13,'Facturas y gastos'!$A$10:$A$13,A637)/SUMIFS($I$8:$I$657,$A$8:$A$657,A637)))</f>
        <v/>
      </c>
      <c r="K637" s="8" t="str">
        <f>IF(J637="","",IF(SUMIFS('Facturas y gastos'!$D$10:$D$13,'Facturas y gastos'!$A$10:$A$13,A637)=0,"",J637*SUMIFS('Facturas y gastos'!$G$10:$G$13,'Facturas y gastos'!$A$10:$A$13,A637)/SUMIFS('Facturas y gastos'!$D$10:$D$13,'Facturas y gastos'!$A$10:$A$13,A637)))</f>
        <v/>
      </c>
      <c r="L637" s="8" t="str">
        <f>IF(J637="","",IF(SUMIFS('Facturas y gastos'!$D$10:$D$13,'Facturas y gastos'!$A$10:$A$13,A637)=0,"",J637*SUMIFS('Facturas y gastos'!$H$10:$H$13,'Facturas y gastos'!$A$10:$A$13,A637)/SUMIFS('Facturas y gastos'!$D$10:$D$13,'Facturas y gastos'!$A$10:$A$13,A637)))</f>
        <v/>
      </c>
      <c r="M637" s="8" t="str">
        <f>IF(J637="","",IF(SUMIFS('Facturas y gastos'!$D$10:$D$13,'Facturas y gastos'!$A$10:$A$13,A637)=0,"",J637*SUMIFS('Facturas y gastos'!$I$10:$I$13,'Facturas y gastos'!$A$10:$A$13,A637)/SUMIFS('Facturas y gastos'!$D$10:$D$13,'Facturas y gastos'!$A$10:$A$13,A637)))</f>
        <v/>
      </c>
      <c r="N637" s="8" t="str">
        <f>IF(J637="","",IF(SUMIFS('Facturas y gastos'!$D$10:$D$13,'Facturas y gastos'!$A$10:$A$13,A637)=0,"",J637*SUMIFS('Facturas y gastos'!$J$10:$J$13,'Facturas y gastos'!$A$10:$A$13,A637)/SUMIFS('Facturas y gastos'!$D$10:$D$13,'Facturas y gastos'!$A$10:$A$13,A637)))</f>
        <v/>
      </c>
      <c r="O637" s="8" t="str">
        <f t="shared" si="18"/>
        <v/>
      </c>
      <c r="P637" s="8" t="str">
        <f>IF(OR(O637="",'Facturas y gastos'!$B$24="",'Facturas y gastos'!$B$45&lt;&gt;"OK",SUM($O$8:$O$657)=0),"",O637*'Facturas y gastos'!$B$43/SUM($O$8:$O$657))</f>
        <v/>
      </c>
      <c r="Q637" s="8" t="str">
        <f>IF(OR(O637="",'Facturas y gastos'!$B$5="",P637=""),"",O637*'Facturas y gastos'!$B$5+P637)</f>
        <v/>
      </c>
      <c r="R637" s="8" t="str">
        <f t="shared" si="19"/>
        <v/>
      </c>
    </row>
    <row r="638" spans="1:18">
      <c r="A638" s="20"/>
      <c r="B638" s="20"/>
      <c r="C638" s="20"/>
      <c r="D638" s="20"/>
      <c r="E638" s="20"/>
      <c r="F638" s="30"/>
      <c r="G638" s="30"/>
      <c r="H638" s="21"/>
      <c r="I638" s="21"/>
      <c r="J638" s="8" t="str">
        <f>IF(OR(A638="",I638=""),"",IF(SUMIFS($I$8:$I$657,$A$8:$A$657,A638)=0,"",I638*SUMIFS('Facturas y gastos'!$D$10:$D$13,'Facturas y gastos'!$A$10:$A$13,A638)/SUMIFS($I$8:$I$657,$A$8:$A$657,A638)))</f>
        <v/>
      </c>
      <c r="K638" s="8" t="str">
        <f>IF(J638="","",IF(SUMIFS('Facturas y gastos'!$D$10:$D$13,'Facturas y gastos'!$A$10:$A$13,A638)=0,"",J638*SUMIFS('Facturas y gastos'!$G$10:$G$13,'Facturas y gastos'!$A$10:$A$13,A638)/SUMIFS('Facturas y gastos'!$D$10:$D$13,'Facturas y gastos'!$A$10:$A$13,A638)))</f>
        <v/>
      </c>
      <c r="L638" s="8" t="str">
        <f>IF(J638="","",IF(SUMIFS('Facturas y gastos'!$D$10:$D$13,'Facturas y gastos'!$A$10:$A$13,A638)=0,"",J638*SUMIFS('Facturas y gastos'!$H$10:$H$13,'Facturas y gastos'!$A$10:$A$13,A638)/SUMIFS('Facturas y gastos'!$D$10:$D$13,'Facturas y gastos'!$A$10:$A$13,A638)))</f>
        <v/>
      </c>
      <c r="M638" s="8" t="str">
        <f>IF(J638="","",IF(SUMIFS('Facturas y gastos'!$D$10:$D$13,'Facturas y gastos'!$A$10:$A$13,A638)=0,"",J638*SUMIFS('Facturas y gastos'!$I$10:$I$13,'Facturas y gastos'!$A$10:$A$13,A638)/SUMIFS('Facturas y gastos'!$D$10:$D$13,'Facturas y gastos'!$A$10:$A$13,A638)))</f>
        <v/>
      </c>
      <c r="N638" s="8" t="str">
        <f>IF(J638="","",IF(SUMIFS('Facturas y gastos'!$D$10:$D$13,'Facturas y gastos'!$A$10:$A$13,A638)=0,"",J638*SUMIFS('Facturas y gastos'!$J$10:$J$13,'Facturas y gastos'!$A$10:$A$13,A638)/SUMIFS('Facturas y gastos'!$D$10:$D$13,'Facturas y gastos'!$A$10:$A$13,A638)))</f>
        <v/>
      </c>
      <c r="O638" s="8" t="str">
        <f t="shared" si="18"/>
        <v/>
      </c>
      <c r="P638" s="8" t="str">
        <f>IF(OR(O638="",'Facturas y gastos'!$B$24="",'Facturas y gastos'!$B$45&lt;&gt;"OK",SUM($O$8:$O$657)=0),"",O638*'Facturas y gastos'!$B$43/SUM($O$8:$O$657))</f>
        <v/>
      </c>
      <c r="Q638" s="8" t="str">
        <f>IF(OR(O638="",'Facturas y gastos'!$B$5="",P638=""),"",O638*'Facturas y gastos'!$B$5+P638)</f>
        <v/>
      </c>
      <c r="R638" s="8" t="str">
        <f t="shared" si="19"/>
        <v/>
      </c>
    </row>
    <row r="639" spans="1:18">
      <c r="A639" s="20"/>
      <c r="B639" s="20"/>
      <c r="C639" s="20"/>
      <c r="D639" s="20"/>
      <c r="E639" s="20"/>
      <c r="F639" s="30"/>
      <c r="G639" s="30"/>
      <c r="H639" s="21"/>
      <c r="I639" s="21"/>
      <c r="J639" s="8" t="str">
        <f>IF(OR(A639="",I639=""),"",IF(SUMIFS($I$8:$I$657,$A$8:$A$657,A639)=0,"",I639*SUMIFS('Facturas y gastos'!$D$10:$D$13,'Facturas y gastos'!$A$10:$A$13,A639)/SUMIFS($I$8:$I$657,$A$8:$A$657,A639)))</f>
        <v/>
      </c>
      <c r="K639" s="8" t="str">
        <f>IF(J639="","",IF(SUMIFS('Facturas y gastos'!$D$10:$D$13,'Facturas y gastos'!$A$10:$A$13,A639)=0,"",J639*SUMIFS('Facturas y gastos'!$G$10:$G$13,'Facturas y gastos'!$A$10:$A$13,A639)/SUMIFS('Facturas y gastos'!$D$10:$D$13,'Facturas y gastos'!$A$10:$A$13,A639)))</f>
        <v/>
      </c>
      <c r="L639" s="8" t="str">
        <f>IF(J639="","",IF(SUMIFS('Facturas y gastos'!$D$10:$D$13,'Facturas y gastos'!$A$10:$A$13,A639)=0,"",J639*SUMIFS('Facturas y gastos'!$H$10:$H$13,'Facturas y gastos'!$A$10:$A$13,A639)/SUMIFS('Facturas y gastos'!$D$10:$D$13,'Facturas y gastos'!$A$10:$A$13,A639)))</f>
        <v/>
      </c>
      <c r="M639" s="8" t="str">
        <f>IF(J639="","",IF(SUMIFS('Facturas y gastos'!$D$10:$D$13,'Facturas y gastos'!$A$10:$A$13,A639)=0,"",J639*SUMIFS('Facturas y gastos'!$I$10:$I$13,'Facturas y gastos'!$A$10:$A$13,A639)/SUMIFS('Facturas y gastos'!$D$10:$D$13,'Facturas y gastos'!$A$10:$A$13,A639)))</f>
        <v/>
      </c>
      <c r="N639" s="8" t="str">
        <f>IF(J639="","",IF(SUMIFS('Facturas y gastos'!$D$10:$D$13,'Facturas y gastos'!$A$10:$A$13,A639)=0,"",J639*SUMIFS('Facturas y gastos'!$J$10:$J$13,'Facturas y gastos'!$A$10:$A$13,A639)/SUMIFS('Facturas y gastos'!$D$10:$D$13,'Facturas y gastos'!$A$10:$A$13,A639)))</f>
        <v/>
      </c>
      <c r="O639" s="8" t="str">
        <f t="shared" si="18"/>
        <v/>
      </c>
      <c r="P639" s="8" t="str">
        <f>IF(OR(O639="",'Facturas y gastos'!$B$24="",'Facturas y gastos'!$B$45&lt;&gt;"OK",SUM($O$8:$O$657)=0),"",O639*'Facturas y gastos'!$B$43/SUM($O$8:$O$657))</f>
        <v/>
      </c>
      <c r="Q639" s="8" t="str">
        <f>IF(OR(O639="",'Facturas y gastos'!$B$5="",P639=""),"",O639*'Facturas y gastos'!$B$5+P639)</f>
        <v/>
      </c>
      <c r="R639" s="8" t="str">
        <f t="shared" si="19"/>
        <v/>
      </c>
    </row>
    <row r="640" spans="1:18">
      <c r="A640" s="20"/>
      <c r="B640" s="20"/>
      <c r="C640" s="20"/>
      <c r="D640" s="20"/>
      <c r="E640" s="20"/>
      <c r="F640" s="30"/>
      <c r="G640" s="30"/>
      <c r="H640" s="21"/>
      <c r="I640" s="21"/>
      <c r="J640" s="8" t="str">
        <f>IF(OR(A640="",I640=""),"",IF(SUMIFS($I$8:$I$657,$A$8:$A$657,A640)=0,"",I640*SUMIFS('Facturas y gastos'!$D$10:$D$13,'Facturas y gastos'!$A$10:$A$13,A640)/SUMIFS($I$8:$I$657,$A$8:$A$657,A640)))</f>
        <v/>
      </c>
      <c r="K640" s="8" t="str">
        <f>IF(J640="","",IF(SUMIFS('Facturas y gastos'!$D$10:$D$13,'Facturas y gastos'!$A$10:$A$13,A640)=0,"",J640*SUMIFS('Facturas y gastos'!$G$10:$G$13,'Facturas y gastos'!$A$10:$A$13,A640)/SUMIFS('Facturas y gastos'!$D$10:$D$13,'Facturas y gastos'!$A$10:$A$13,A640)))</f>
        <v/>
      </c>
      <c r="L640" s="8" t="str">
        <f>IF(J640="","",IF(SUMIFS('Facturas y gastos'!$D$10:$D$13,'Facturas y gastos'!$A$10:$A$13,A640)=0,"",J640*SUMIFS('Facturas y gastos'!$H$10:$H$13,'Facturas y gastos'!$A$10:$A$13,A640)/SUMIFS('Facturas y gastos'!$D$10:$D$13,'Facturas y gastos'!$A$10:$A$13,A640)))</f>
        <v/>
      </c>
      <c r="M640" s="8" t="str">
        <f>IF(J640="","",IF(SUMIFS('Facturas y gastos'!$D$10:$D$13,'Facturas y gastos'!$A$10:$A$13,A640)=0,"",J640*SUMIFS('Facturas y gastos'!$I$10:$I$13,'Facturas y gastos'!$A$10:$A$13,A640)/SUMIFS('Facturas y gastos'!$D$10:$D$13,'Facturas y gastos'!$A$10:$A$13,A640)))</f>
        <v/>
      </c>
      <c r="N640" s="8" t="str">
        <f>IF(J640="","",IF(SUMIFS('Facturas y gastos'!$D$10:$D$13,'Facturas y gastos'!$A$10:$A$13,A640)=0,"",J640*SUMIFS('Facturas y gastos'!$J$10:$J$13,'Facturas y gastos'!$A$10:$A$13,A640)/SUMIFS('Facturas y gastos'!$D$10:$D$13,'Facturas y gastos'!$A$10:$A$13,A640)))</f>
        <v/>
      </c>
      <c r="O640" s="8" t="str">
        <f t="shared" si="18"/>
        <v/>
      </c>
      <c r="P640" s="8" t="str">
        <f>IF(OR(O640="",'Facturas y gastos'!$B$24="",'Facturas y gastos'!$B$45&lt;&gt;"OK",SUM($O$8:$O$657)=0),"",O640*'Facturas y gastos'!$B$43/SUM($O$8:$O$657))</f>
        <v/>
      </c>
      <c r="Q640" s="8" t="str">
        <f>IF(OR(O640="",'Facturas y gastos'!$B$5="",P640=""),"",O640*'Facturas y gastos'!$B$5+P640)</f>
        <v/>
      </c>
      <c r="R640" s="8" t="str">
        <f t="shared" si="19"/>
        <v/>
      </c>
    </row>
    <row r="641" spans="1:18">
      <c r="A641" s="20"/>
      <c r="B641" s="20"/>
      <c r="C641" s="20"/>
      <c r="D641" s="20"/>
      <c r="E641" s="20"/>
      <c r="F641" s="30"/>
      <c r="G641" s="30"/>
      <c r="H641" s="21"/>
      <c r="I641" s="21"/>
      <c r="J641" s="8" t="str">
        <f>IF(OR(A641="",I641=""),"",IF(SUMIFS($I$8:$I$657,$A$8:$A$657,A641)=0,"",I641*SUMIFS('Facturas y gastos'!$D$10:$D$13,'Facturas y gastos'!$A$10:$A$13,A641)/SUMIFS($I$8:$I$657,$A$8:$A$657,A641)))</f>
        <v/>
      </c>
      <c r="K641" s="8" t="str">
        <f>IF(J641="","",IF(SUMIFS('Facturas y gastos'!$D$10:$D$13,'Facturas y gastos'!$A$10:$A$13,A641)=0,"",J641*SUMIFS('Facturas y gastos'!$G$10:$G$13,'Facturas y gastos'!$A$10:$A$13,A641)/SUMIFS('Facturas y gastos'!$D$10:$D$13,'Facturas y gastos'!$A$10:$A$13,A641)))</f>
        <v/>
      </c>
      <c r="L641" s="8" t="str">
        <f>IF(J641="","",IF(SUMIFS('Facturas y gastos'!$D$10:$D$13,'Facturas y gastos'!$A$10:$A$13,A641)=0,"",J641*SUMIFS('Facturas y gastos'!$H$10:$H$13,'Facturas y gastos'!$A$10:$A$13,A641)/SUMIFS('Facturas y gastos'!$D$10:$D$13,'Facturas y gastos'!$A$10:$A$13,A641)))</f>
        <v/>
      </c>
      <c r="M641" s="8" t="str">
        <f>IF(J641="","",IF(SUMIFS('Facturas y gastos'!$D$10:$D$13,'Facturas y gastos'!$A$10:$A$13,A641)=0,"",J641*SUMIFS('Facturas y gastos'!$I$10:$I$13,'Facturas y gastos'!$A$10:$A$13,A641)/SUMIFS('Facturas y gastos'!$D$10:$D$13,'Facturas y gastos'!$A$10:$A$13,A641)))</f>
        <v/>
      </c>
      <c r="N641" s="8" t="str">
        <f>IF(J641="","",IF(SUMIFS('Facturas y gastos'!$D$10:$D$13,'Facturas y gastos'!$A$10:$A$13,A641)=0,"",J641*SUMIFS('Facturas y gastos'!$J$10:$J$13,'Facturas y gastos'!$A$10:$A$13,A641)/SUMIFS('Facturas y gastos'!$D$10:$D$13,'Facturas y gastos'!$A$10:$A$13,A641)))</f>
        <v/>
      </c>
      <c r="O641" s="8" t="str">
        <f t="shared" si="18"/>
        <v/>
      </c>
      <c r="P641" s="8" t="str">
        <f>IF(OR(O641="",'Facturas y gastos'!$B$24="",'Facturas y gastos'!$B$45&lt;&gt;"OK",SUM($O$8:$O$657)=0),"",O641*'Facturas y gastos'!$B$43/SUM($O$8:$O$657))</f>
        <v/>
      </c>
      <c r="Q641" s="8" t="str">
        <f>IF(OR(O641="",'Facturas y gastos'!$B$5="",P641=""),"",O641*'Facturas y gastos'!$B$5+P641)</f>
        <v/>
      </c>
      <c r="R641" s="8" t="str">
        <f t="shared" si="19"/>
        <v/>
      </c>
    </row>
    <row r="642" spans="1:18">
      <c r="A642" s="20"/>
      <c r="B642" s="20"/>
      <c r="C642" s="20"/>
      <c r="D642" s="20"/>
      <c r="E642" s="20"/>
      <c r="F642" s="30"/>
      <c r="G642" s="30"/>
      <c r="H642" s="21"/>
      <c r="I642" s="21"/>
      <c r="J642" s="8" t="str">
        <f>IF(OR(A642="",I642=""),"",IF(SUMIFS($I$8:$I$657,$A$8:$A$657,A642)=0,"",I642*SUMIFS('Facturas y gastos'!$D$10:$D$13,'Facturas y gastos'!$A$10:$A$13,A642)/SUMIFS($I$8:$I$657,$A$8:$A$657,A642)))</f>
        <v/>
      </c>
      <c r="K642" s="8" t="str">
        <f>IF(J642="","",IF(SUMIFS('Facturas y gastos'!$D$10:$D$13,'Facturas y gastos'!$A$10:$A$13,A642)=0,"",J642*SUMIFS('Facturas y gastos'!$G$10:$G$13,'Facturas y gastos'!$A$10:$A$13,A642)/SUMIFS('Facturas y gastos'!$D$10:$D$13,'Facturas y gastos'!$A$10:$A$13,A642)))</f>
        <v/>
      </c>
      <c r="L642" s="8" t="str">
        <f>IF(J642="","",IF(SUMIFS('Facturas y gastos'!$D$10:$D$13,'Facturas y gastos'!$A$10:$A$13,A642)=0,"",J642*SUMIFS('Facturas y gastos'!$H$10:$H$13,'Facturas y gastos'!$A$10:$A$13,A642)/SUMIFS('Facturas y gastos'!$D$10:$D$13,'Facturas y gastos'!$A$10:$A$13,A642)))</f>
        <v/>
      </c>
      <c r="M642" s="8" t="str">
        <f>IF(J642="","",IF(SUMIFS('Facturas y gastos'!$D$10:$D$13,'Facturas y gastos'!$A$10:$A$13,A642)=0,"",J642*SUMIFS('Facturas y gastos'!$I$10:$I$13,'Facturas y gastos'!$A$10:$A$13,A642)/SUMIFS('Facturas y gastos'!$D$10:$D$13,'Facturas y gastos'!$A$10:$A$13,A642)))</f>
        <v/>
      </c>
      <c r="N642" s="8" t="str">
        <f>IF(J642="","",IF(SUMIFS('Facturas y gastos'!$D$10:$D$13,'Facturas y gastos'!$A$10:$A$13,A642)=0,"",J642*SUMIFS('Facturas y gastos'!$J$10:$J$13,'Facturas y gastos'!$A$10:$A$13,A642)/SUMIFS('Facturas y gastos'!$D$10:$D$13,'Facturas y gastos'!$A$10:$A$13,A642)))</f>
        <v/>
      </c>
      <c r="O642" s="8" t="str">
        <f t="shared" si="18"/>
        <v/>
      </c>
      <c r="P642" s="8" t="str">
        <f>IF(OR(O642="",'Facturas y gastos'!$B$24="",'Facturas y gastos'!$B$45&lt;&gt;"OK",SUM($O$8:$O$657)=0),"",O642*'Facturas y gastos'!$B$43/SUM($O$8:$O$657))</f>
        <v/>
      </c>
      <c r="Q642" s="8" t="str">
        <f>IF(OR(O642="",'Facturas y gastos'!$B$5="",P642=""),"",O642*'Facturas y gastos'!$B$5+P642)</f>
        <v/>
      </c>
      <c r="R642" s="8" t="str">
        <f t="shared" si="19"/>
        <v/>
      </c>
    </row>
    <row r="643" spans="1:18">
      <c r="A643" s="20"/>
      <c r="B643" s="20"/>
      <c r="C643" s="20"/>
      <c r="D643" s="20"/>
      <c r="E643" s="20"/>
      <c r="F643" s="30"/>
      <c r="G643" s="30"/>
      <c r="H643" s="21"/>
      <c r="I643" s="21"/>
      <c r="J643" s="8" t="str">
        <f>IF(OR(A643="",I643=""),"",IF(SUMIFS($I$8:$I$657,$A$8:$A$657,A643)=0,"",I643*SUMIFS('Facturas y gastos'!$D$10:$D$13,'Facturas y gastos'!$A$10:$A$13,A643)/SUMIFS($I$8:$I$657,$A$8:$A$657,A643)))</f>
        <v/>
      </c>
      <c r="K643" s="8" t="str">
        <f>IF(J643="","",IF(SUMIFS('Facturas y gastos'!$D$10:$D$13,'Facturas y gastos'!$A$10:$A$13,A643)=0,"",J643*SUMIFS('Facturas y gastos'!$G$10:$G$13,'Facturas y gastos'!$A$10:$A$13,A643)/SUMIFS('Facturas y gastos'!$D$10:$D$13,'Facturas y gastos'!$A$10:$A$13,A643)))</f>
        <v/>
      </c>
      <c r="L643" s="8" t="str">
        <f>IF(J643="","",IF(SUMIFS('Facturas y gastos'!$D$10:$D$13,'Facturas y gastos'!$A$10:$A$13,A643)=0,"",J643*SUMIFS('Facturas y gastos'!$H$10:$H$13,'Facturas y gastos'!$A$10:$A$13,A643)/SUMIFS('Facturas y gastos'!$D$10:$D$13,'Facturas y gastos'!$A$10:$A$13,A643)))</f>
        <v/>
      </c>
      <c r="M643" s="8" t="str">
        <f>IF(J643="","",IF(SUMIFS('Facturas y gastos'!$D$10:$D$13,'Facturas y gastos'!$A$10:$A$13,A643)=0,"",J643*SUMIFS('Facturas y gastos'!$I$10:$I$13,'Facturas y gastos'!$A$10:$A$13,A643)/SUMIFS('Facturas y gastos'!$D$10:$D$13,'Facturas y gastos'!$A$10:$A$13,A643)))</f>
        <v/>
      </c>
      <c r="N643" s="8" t="str">
        <f>IF(J643="","",IF(SUMIFS('Facturas y gastos'!$D$10:$D$13,'Facturas y gastos'!$A$10:$A$13,A643)=0,"",J643*SUMIFS('Facturas y gastos'!$J$10:$J$13,'Facturas y gastos'!$A$10:$A$13,A643)/SUMIFS('Facturas y gastos'!$D$10:$D$13,'Facturas y gastos'!$A$10:$A$13,A643)))</f>
        <v/>
      </c>
      <c r="O643" s="8" t="str">
        <f t="shared" si="18"/>
        <v/>
      </c>
      <c r="P643" s="8" t="str">
        <f>IF(OR(O643="",'Facturas y gastos'!$B$24="",'Facturas y gastos'!$B$45&lt;&gt;"OK",SUM($O$8:$O$657)=0),"",O643*'Facturas y gastos'!$B$43/SUM($O$8:$O$657))</f>
        <v/>
      </c>
      <c r="Q643" s="8" t="str">
        <f>IF(OR(O643="",'Facturas y gastos'!$B$5="",P643=""),"",O643*'Facturas y gastos'!$B$5+P643)</f>
        <v/>
      </c>
      <c r="R643" s="8" t="str">
        <f t="shared" si="19"/>
        <v/>
      </c>
    </row>
    <row r="644" spans="1:18">
      <c r="A644" s="20"/>
      <c r="B644" s="20"/>
      <c r="C644" s="20"/>
      <c r="D644" s="20"/>
      <c r="E644" s="20"/>
      <c r="F644" s="30"/>
      <c r="G644" s="30"/>
      <c r="H644" s="21"/>
      <c r="I644" s="21"/>
      <c r="J644" s="8" t="str">
        <f>IF(OR(A644="",I644=""),"",IF(SUMIFS($I$8:$I$657,$A$8:$A$657,A644)=0,"",I644*SUMIFS('Facturas y gastos'!$D$10:$D$13,'Facturas y gastos'!$A$10:$A$13,A644)/SUMIFS($I$8:$I$657,$A$8:$A$657,A644)))</f>
        <v/>
      </c>
      <c r="K644" s="8" t="str">
        <f>IF(J644="","",IF(SUMIFS('Facturas y gastos'!$D$10:$D$13,'Facturas y gastos'!$A$10:$A$13,A644)=0,"",J644*SUMIFS('Facturas y gastos'!$G$10:$G$13,'Facturas y gastos'!$A$10:$A$13,A644)/SUMIFS('Facturas y gastos'!$D$10:$D$13,'Facturas y gastos'!$A$10:$A$13,A644)))</f>
        <v/>
      </c>
      <c r="L644" s="8" t="str">
        <f>IF(J644="","",IF(SUMIFS('Facturas y gastos'!$D$10:$D$13,'Facturas y gastos'!$A$10:$A$13,A644)=0,"",J644*SUMIFS('Facturas y gastos'!$H$10:$H$13,'Facturas y gastos'!$A$10:$A$13,A644)/SUMIFS('Facturas y gastos'!$D$10:$D$13,'Facturas y gastos'!$A$10:$A$13,A644)))</f>
        <v/>
      </c>
      <c r="M644" s="8" t="str">
        <f>IF(J644="","",IF(SUMIFS('Facturas y gastos'!$D$10:$D$13,'Facturas y gastos'!$A$10:$A$13,A644)=0,"",J644*SUMIFS('Facturas y gastos'!$I$10:$I$13,'Facturas y gastos'!$A$10:$A$13,A644)/SUMIFS('Facturas y gastos'!$D$10:$D$13,'Facturas y gastos'!$A$10:$A$13,A644)))</f>
        <v/>
      </c>
      <c r="N644" s="8" t="str">
        <f>IF(J644="","",IF(SUMIFS('Facturas y gastos'!$D$10:$D$13,'Facturas y gastos'!$A$10:$A$13,A644)=0,"",J644*SUMIFS('Facturas y gastos'!$J$10:$J$13,'Facturas y gastos'!$A$10:$A$13,A644)/SUMIFS('Facturas y gastos'!$D$10:$D$13,'Facturas y gastos'!$A$10:$A$13,A644)))</f>
        <v/>
      </c>
      <c r="O644" s="8" t="str">
        <f t="shared" si="18"/>
        <v/>
      </c>
      <c r="P644" s="8" t="str">
        <f>IF(OR(O644="",'Facturas y gastos'!$B$24="",'Facturas y gastos'!$B$45&lt;&gt;"OK",SUM($O$8:$O$657)=0),"",O644*'Facturas y gastos'!$B$43/SUM($O$8:$O$657))</f>
        <v/>
      </c>
      <c r="Q644" s="8" t="str">
        <f>IF(OR(O644="",'Facturas y gastos'!$B$5="",P644=""),"",O644*'Facturas y gastos'!$B$5+P644)</f>
        <v/>
      </c>
      <c r="R644" s="8" t="str">
        <f t="shared" si="19"/>
        <v/>
      </c>
    </row>
    <row r="645" spans="1:18">
      <c r="A645" s="20"/>
      <c r="B645" s="20"/>
      <c r="C645" s="20"/>
      <c r="D645" s="20"/>
      <c r="E645" s="20"/>
      <c r="F645" s="30"/>
      <c r="G645" s="30"/>
      <c r="H645" s="21"/>
      <c r="I645" s="21"/>
      <c r="J645" s="8" t="str">
        <f>IF(OR(A645="",I645=""),"",IF(SUMIFS($I$8:$I$657,$A$8:$A$657,A645)=0,"",I645*SUMIFS('Facturas y gastos'!$D$10:$D$13,'Facturas y gastos'!$A$10:$A$13,A645)/SUMIFS($I$8:$I$657,$A$8:$A$657,A645)))</f>
        <v/>
      </c>
      <c r="K645" s="8" t="str">
        <f>IF(J645="","",IF(SUMIFS('Facturas y gastos'!$D$10:$D$13,'Facturas y gastos'!$A$10:$A$13,A645)=0,"",J645*SUMIFS('Facturas y gastos'!$G$10:$G$13,'Facturas y gastos'!$A$10:$A$13,A645)/SUMIFS('Facturas y gastos'!$D$10:$D$13,'Facturas y gastos'!$A$10:$A$13,A645)))</f>
        <v/>
      </c>
      <c r="L645" s="8" t="str">
        <f>IF(J645="","",IF(SUMIFS('Facturas y gastos'!$D$10:$D$13,'Facturas y gastos'!$A$10:$A$13,A645)=0,"",J645*SUMIFS('Facturas y gastos'!$H$10:$H$13,'Facturas y gastos'!$A$10:$A$13,A645)/SUMIFS('Facturas y gastos'!$D$10:$D$13,'Facturas y gastos'!$A$10:$A$13,A645)))</f>
        <v/>
      </c>
      <c r="M645" s="8" t="str">
        <f>IF(J645="","",IF(SUMIFS('Facturas y gastos'!$D$10:$D$13,'Facturas y gastos'!$A$10:$A$13,A645)=0,"",J645*SUMIFS('Facturas y gastos'!$I$10:$I$13,'Facturas y gastos'!$A$10:$A$13,A645)/SUMIFS('Facturas y gastos'!$D$10:$D$13,'Facturas y gastos'!$A$10:$A$13,A645)))</f>
        <v/>
      </c>
      <c r="N645" s="8" t="str">
        <f>IF(J645="","",IF(SUMIFS('Facturas y gastos'!$D$10:$D$13,'Facturas y gastos'!$A$10:$A$13,A645)=0,"",J645*SUMIFS('Facturas y gastos'!$J$10:$J$13,'Facturas y gastos'!$A$10:$A$13,A645)/SUMIFS('Facturas y gastos'!$D$10:$D$13,'Facturas y gastos'!$A$10:$A$13,A645)))</f>
        <v/>
      </c>
      <c r="O645" s="8" t="str">
        <f t="shared" si="18"/>
        <v/>
      </c>
      <c r="P645" s="8" t="str">
        <f>IF(OR(O645="",'Facturas y gastos'!$B$24="",'Facturas y gastos'!$B$45&lt;&gt;"OK",SUM($O$8:$O$657)=0),"",O645*'Facturas y gastos'!$B$43/SUM($O$8:$O$657))</f>
        <v/>
      </c>
      <c r="Q645" s="8" t="str">
        <f>IF(OR(O645="",'Facturas y gastos'!$B$5="",P645=""),"",O645*'Facturas y gastos'!$B$5+P645)</f>
        <v/>
      </c>
      <c r="R645" s="8" t="str">
        <f t="shared" si="19"/>
        <v/>
      </c>
    </row>
    <row r="646" spans="1:18">
      <c r="A646" s="20"/>
      <c r="B646" s="20"/>
      <c r="C646" s="20"/>
      <c r="D646" s="20"/>
      <c r="E646" s="20"/>
      <c r="F646" s="30"/>
      <c r="G646" s="30"/>
      <c r="H646" s="21"/>
      <c r="I646" s="21"/>
      <c r="J646" s="8" t="str">
        <f>IF(OR(A646="",I646=""),"",IF(SUMIFS($I$8:$I$657,$A$8:$A$657,A646)=0,"",I646*SUMIFS('Facturas y gastos'!$D$10:$D$13,'Facturas y gastos'!$A$10:$A$13,A646)/SUMIFS($I$8:$I$657,$A$8:$A$657,A646)))</f>
        <v/>
      </c>
      <c r="K646" s="8" t="str">
        <f>IF(J646="","",IF(SUMIFS('Facturas y gastos'!$D$10:$D$13,'Facturas y gastos'!$A$10:$A$13,A646)=0,"",J646*SUMIFS('Facturas y gastos'!$G$10:$G$13,'Facturas y gastos'!$A$10:$A$13,A646)/SUMIFS('Facturas y gastos'!$D$10:$D$13,'Facturas y gastos'!$A$10:$A$13,A646)))</f>
        <v/>
      </c>
      <c r="L646" s="8" t="str">
        <f>IF(J646="","",IF(SUMIFS('Facturas y gastos'!$D$10:$D$13,'Facturas y gastos'!$A$10:$A$13,A646)=0,"",J646*SUMIFS('Facturas y gastos'!$H$10:$H$13,'Facturas y gastos'!$A$10:$A$13,A646)/SUMIFS('Facturas y gastos'!$D$10:$D$13,'Facturas y gastos'!$A$10:$A$13,A646)))</f>
        <v/>
      </c>
      <c r="M646" s="8" t="str">
        <f>IF(J646="","",IF(SUMIFS('Facturas y gastos'!$D$10:$D$13,'Facturas y gastos'!$A$10:$A$13,A646)=0,"",J646*SUMIFS('Facturas y gastos'!$I$10:$I$13,'Facturas y gastos'!$A$10:$A$13,A646)/SUMIFS('Facturas y gastos'!$D$10:$D$13,'Facturas y gastos'!$A$10:$A$13,A646)))</f>
        <v/>
      </c>
      <c r="N646" s="8" t="str">
        <f>IF(J646="","",IF(SUMIFS('Facturas y gastos'!$D$10:$D$13,'Facturas y gastos'!$A$10:$A$13,A646)=0,"",J646*SUMIFS('Facturas y gastos'!$J$10:$J$13,'Facturas y gastos'!$A$10:$A$13,A646)/SUMIFS('Facturas y gastos'!$D$10:$D$13,'Facturas y gastos'!$A$10:$A$13,A646)))</f>
        <v/>
      </c>
      <c r="O646" s="8" t="str">
        <f t="shared" si="18"/>
        <v/>
      </c>
      <c r="P646" s="8" t="str">
        <f>IF(OR(O646="",'Facturas y gastos'!$B$24="",'Facturas y gastos'!$B$45&lt;&gt;"OK",SUM($O$8:$O$657)=0),"",O646*'Facturas y gastos'!$B$43/SUM($O$8:$O$657))</f>
        <v/>
      </c>
      <c r="Q646" s="8" t="str">
        <f>IF(OR(O646="",'Facturas y gastos'!$B$5="",P646=""),"",O646*'Facturas y gastos'!$B$5+P646)</f>
        <v/>
      </c>
      <c r="R646" s="8" t="str">
        <f t="shared" si="19"/>
        <v/>
      </c>
    </row>
    <row r="647" spans="1:18">
      <c r="A647" s="20"/>
      <c r="B647" s="20"/>
      <c r="C647" s="20"/>
      <c r="D647" s="20"/>
      <c r="E647" s="20"/>
      <c r="F647" s="30"/>
      <c r="G647" s="30"/>
      <c r="H647" s="21"/>
      <c r="I647" s="21"/>
      <c r="J647" s="8" t="str">
        <f>IF(OR(A647="",I647=""),"",IF(SUMIFS($I$8:$I$657,$A$8:$A$657,A647)=0,"",I647*SUMIFS('Facturas y gastos'!$D$10:$D$13,'Facturas y gastos'!$A$10:$A$13,A647)/SUMIFS($I$8:$I$657,$A$8:$A$657,A647)))</f>
        <v/>
      </c>
      <c r="K647" s="8" t="str">
        <f>IF(J647="","",IF(SUMIFS('Facturas y gastos'!$D$10:$D$13,'Facturas y gastos'!$A$10:$A$13,A647)=0,"",J647*SUMIFS('Facturas y gastos'!$G$10:$G$13,'Facturas y gastos'!$A$10:$A$13,A647)/SUMIFS('Facturas y gastos'!$D$10:$D$13,'Facturas y gastos'!$A$10:$A$13,A647)))</f>
        <v/>
      </c>
      <c r="L647" s="8" t="str">
        <f>IF(J647="","",IF(SUMIFS('Facturas y gastos'!$D$10:$D$13,'Facturas y gastos'!$A$10:$A$13,A647)=0,"",J647*SUMIFS('Facturas y gastos'!$H$10:$H$13,'Facturas y gastos'!$A$10:$A$13,A647)/SUMIFS('Facturas y gastos'!$D$10:$D$13,'Facturas y gastos'!$A$10:$A$13,A647)))</f>
        <v/>
      </c>
      <c r="M647" s="8" t="str">
        <f>IF(J647="","",IF(SUMIFS('Facturas y gastos'!$D$10:$D$13,'Facturas y gastos'!$A$10:$A$13,A647)=0,"",J647*SUMIFS('Facturas y gastos'!$I$10:$I$13,'Facturas y gastos'!$A$10:$A$13,A647)/SUMIFS('Facturas y gastos'!$D$10:$D$13,'Facturas y gastos'!$A$10:$A$13,A647)))</f>
        <v/>
      </c>
      <c r="N647" s="8" t="str">
        <f>IF(J647="","",IF(SUMIFS('Facturas y gastos'!$D$10:$D$13,'Facturas y gastos'!$A$10:$A$13,A647)=0,"",J647*SUMIFS('Facturas y gastos'!$J$10:$J$13,'Facturas y gastos'!$A$10:$A$13,A647)/SUMIFS('Facturas y gastos'!$D$10:$D$13,'Facturas y gastos'!$A$10:$A$13,A647)))</f>
        <v/>
      </c>
      <c r="O647" s="8" t="str">
        <f t="shared" si="18"/>
        <v/>
      </c>
      <c r="P647" s="8" t="str">
        <f>IF(OR(O647="",'Facturas y gastos'!$B$24="",'Facturas y gastos'!$B$45&lt;&gt;"OK",SUM($O$8:$O$657)=0),"",O647*'Facturas y gastos'!$B$43/SUM($O$8:$O$657))</f>
        <v/>
      </c>
      <c r="Q647" s="8" t="str">
        <f>IF(OR(O647="",'Facturas y gastos'!$B$5="",P647=""),"",O647*'Facturas y gastos'!$B$5+P647)</f>
        <v/>
      </c>
      <c r="R647" s="8" t="str">
        <f t="shared" si="19"/>
        <v/>
      </c>
    </row>
    <row r="648" spans="1:18">
      <c r="A648" s="20"/>
      <c r="B648" s="20"/>
      <c r="C648" s="20"/>
      <c r="D648" s="20"/>
      <c r="E648" s="20"/>
      <c r="F648" s="30"/>
      <c r="G648" s="30"/>
      <c r="H648" s="21"/>
      <c r="I648" s="21"/>
      <c r="J648" s="8" t="str">
        <f>IF(OR(A648="",I648=""),"",IF(SUMIFS($I$8:$I$657,$A$8:$A$657,A648)=0,"",I648*SUMIFS('Facturas y gastos'!$D$10:$D$13,'Facturas y gastos'!$A$10:$A$13,A648)/SUMIFS($I$8:$I$657,$A$8:$A$657,A648)))</f>
        <v/>
      </c>
      <c r="K648" s="8" t="str">
        <f>IF(J648="","",IF(SUMIFS('Facturas y gastos'!$D$10:$D$13,'Facturas y gastos'!$A$10:$A$13,A648)=0,"",J648*SUMIFS('Facturas y gastos'!$G$10:$G$13,'Facturas y gastos'!$A$10:$A$13,A648)/SUMIFS('Facturas y gastos'!$D$10:$D$13,'Facturas y gastos'!$A$10:$A$13,A648)))</f>
        <v/>
      </c>
      <c r="L648" s="8" t="str">
        <f>IF(J648="","",IF(SUMIFS('Facturas y gastos'!$D$10:$D$13,'Facturas y gastos'!$A$10:$A$13,A648)=0,"",J648*SUMIFS('Facturas y gastos'!$H$10:$H$13,'Facturas y gastos'!$A$10:$A$13,A648)/SUMIFS('Facturas y gastos'!$D$10:$D$13,'Facturas y gastos'!$A$10:$A$13,A648)))</f>
        <v/>
      </c>
      <c r="M648" s="8" t="str">
        <f>IF(J648="","",IF(SUMIFS('Facturas y gastos'!$D$10:$D$13,'Facturas y gastos'!$A$10:$A$13,A648)=0,"",J648*SUMIFS('Facturas y gastos'!$I$10:$I$13,'Facturas y gastos'!$A$10:$A$13,A648)/SUMIFS('Facturas y gastos'!$D$10:$D$13,'Facturas y gastos'!$A$10:$A$13,A648)))</f>
        <v/>
      </c>
      <c r="N648" s="8" t="str">
        <f>IF(J648="","",IF(SUMIFS('Facturas y gastos'!$D$10:$D$13,'Facturas y gastos'!$A$10:$A$13,A648)=0,"",J648*SUMIFS('Facturas y gastos'!$J$10:$J$13,'Facturas y gastos'!$A$10:$A$13,A648)/SUMIFS('Facturas y gastos'!$D$10:$D$13,'Facturas y gastos'!$A$10:$A$13,A648)))</f>
        <v/>
      </c>
      <c r="O648" s="8" t="str">
        <f t="shared" ref="O648:O711" si="20">IF(J648="","",J648-K648+L648+M648+N648)</f>
        <v/>
      </c>
      <c r="P648" s="8" t="str">
        <f>IF(OR(O648="",'Facturas y gastos'!$B$24="",'Facturas y gastos'!$B$45&lt;&gt;"OK",SUM($O$8:$O$657)=0),"",O648*'Facturas y gastos'!$B$43/SUM($O$8:$O$657))</f>
        <v/>
      </c>
      <c r="Q648" s="8" t="str">
        <f>IF(OR(O648="",'Facturas y gastos'!$B$5="",P648=""),"",O648*'Facturas y gastos'!$B$5+P648)</f>
        <v/>
      </c>
      <c r="R648" s="8" t="str">
        <f t="shared" ref="R648:R711" si="21">IF(OR(Q648="",F648="",F648=0),"",Q648/F648)</f>
        <v/>
      </c>
    </row>
    <row r="649" spans="1:18">
      <c r="A649" s="20"/>
      <c r="B649" s="20"/>
      <c r="C649" s="20"/>
      <c r="D649" s="20"/>
      <c r="E649" s="20"/>
      <c r="F649" s="30"/>
      <c r="G649" s="30"/>
      <c r="H649" s="21"/>
      <c r="I649" s="21"/>
      <c r="J649" s="8" t="str">
        <f>IF(OR(A649="",I649=""),"",IF(SUMIFS($I$8:$I$657,$A$8:$A$657,A649)=0,"",I649*SUMIFS('Facturas y gastos'!$D$10:$D$13,'Facturas y gastos'!$A$10:$A$13,A649)/SUMIFS($I$8:$I$657,$A$8:$A$657,A649)))</f>
        <v/>
      </c>
      <c r="K649" s="8" t="str">
        <f>IF(J649="","",IF(SUMIFS('Facturas y gastos'!$D$10:$D$13,'Facturas y gastos'!$A$10:$A$13,A649)=0,"",J649*SUMIFS('Facturas y gastos'!$G$10:$G$13,'Facturas y gastos'!$A$10:$A$13,A649)/SUMIFS('Facturas y gastos'!$D$10:$D$13,'Facturas y gastos'!$A$10:$A$13,A649)))</f>
        <v/>
      </c>
      <c r="L649" s="8" t="str">
        <f>IF(J649="","",IF(SUMIFS('Facturas y gastos'!$D$10:$D$13,'Facturas y gastos'!$A$10:$A$13,A649)=0,"",J649*SUMIFS('Facturas y gastos'!$H$10:$H$13,'Facturas y gastos'!$A$10:$A$13,A649)/SUMIFS('Facturas y gastos'!$D$10:$D$13,'Facturas y gastos'!$A$10:$A$13,A649)))</f>
        <v/>
      </c>
      <c r="M649" s="8" t="str">
        <f>IF(J649="","",IF(SUMIFS('Facturas y gastos'!$D$10:$D$13,'Facturas y gastos'!$A$10:$A$13,A649)=0,"",J649*SUMIFS('Facturas y gastos'!$I$10:$I$13,'Facturas y gastos'!$A$10:$A$13,A649)/SUMIFS('Facturas y gastos'!$D$10:$D$13,'Facturas y gastos'!$A$10:$A$13,A649)))</f>
        <v/>
      </c>
      <c r="N649" s="8" t="str">
        <f>IF(J649="","",IF(SUMIFS('Facturas y gastos'!$D$10:$D$13,'Facturas y gastos'!$A$10:$A$13,A649)=0,"",J649*SUMIFS('Facturas y gastos'!$J$10:$J$13,'Facturas y gastos'!$A$10:$A$13,A649)/SUMIFS('Facturas y gastos'!$D$10:$D$13,'Facturas y gastos'!$A$10:$A$13,A649)))</f>
        <v/>
      </c>
      <c r="O649" s="8" t="str">
        <f t="shared" si="20"/>
        <v/>
      </c>
      <c r="P649" s="8" t="str">
        <f>IF(OR(O649="",'Facturas y gastos'!$B$24="",'Facturas y gastos'!$B$45&lt;&gt;"OK",SUM($O$8:$O$657)=0),"",O649*'Facturas y gastos'!$B$43/SUM($O$8:$O$657))</f>
        <v/>
      </c>
      <c r="Q649" s="8" t="str">
        <f>IF(OR(O649="",'Facturas y gastos'!$B$5="",P649=""),"",O649*'Facturas y gastos'!$B$5+P649)</f>
        <v/>
      </c>
      <c r="R649" s="8" t="str">
        <f t="shared" si="21"/>
        <v/>
      </c>
    </row>
    <row r="650" spans="1:18">
      <c r="A650" s="20"/>
      <c r="B650" s="20"/>
      <c r="C650" s="20"/>
      <c r="D650" s="20"/>
      <c r="E650" s="20"/>
      <c r="F650" s="30"/>
      <c r="G650" s="30"/>
      <c r="H650" s="21"/>
      <c r="I650" s="21"/>
      <c r="J650" s="8" t="str">
        <f>IF(OR(A650="",I650=""),"",IF(SUMIFS($I$8:$I$657,$A$8:$A$657,A650)=0,"",I650*SUMIFS('Facturas y gastos'!$D$10:$D$13,'Facturas y gastos'!$A$10:$A$13,A650)/SUMIFS($I$8:$I$657,$A$8:$A$657,A650)))</f>
        <v/>
      </c>
      <c r="K650" s="8" t="str">
        <f>IF(J650="","",IF(SUMIFS('Facturas y gastos'!$D$10:$D$13,'Facturas y gastos'!$A$10:$A$13,A650)=0,"",J650*SUMIFS('Facturas y gastos'!$G$10:$G$13,'Facturas y gastos'!$A$10:$A$13,A650)/SUMIFS('Facturas y gastos'!$D$10:$D$13,'Facturas y gastos'!$A$10:$A$13,A650)))</f>
        <v/>
      </c>
      <c r="L650" s="8" t="str">
        <f>IF(J650="","",IF(SUMIFS('Facturas y gastos'!$D$10:$D$13,'Facturas y gastos'!$A$10:$A$13,A650)=0,"",J650*SUMIFS('Facturas y gastos'!$H$10:$H$13,'Facturas y gastos'!$A$10:$A$13,A650)/SUMIFS('Facturas y gastos'!$D$10:$D$13,'Facturas y gastos'!$A$10:$A$13,A650)))</f>
        <v/>
      </c>
      <c r="M650" s="8" t="str">
        <f>IF(J650="","",IF(SUMIFS('Facturas y gastos'!$D$10:$D$13,'Facturas y gastos'!$A$10:$A$13,A650)=0,"",J650*SUMIFS('Facturas y gastos'!$I$10:$I$13,'Facturas y gastos'!$A$10:$A$13,A650)/SUMIFS('Facturas y gastos'!$D$10:$D$13,'Facturas y gastos'!$A$10:$A$13,A650)))</f>
        <v/>
      </c>
      <c r="N650" s="8" t="str">
        <f>IF(J650="","",IF(SUMIFS('Facturas y gastos'!$D$10:$D$13,'Facturas y gastos'!$A$10:$A$13,A650)=0,"",J650*SUMIFS('Facturas y gastos'!$J$10:$J$13,'Facturas y gastos'!$A$10:$A$13,A650)/SUMIFS('Facturas y gastos'!$D$10:$D$13,'Facturas y gastos'!$A$10:$A$13,A650)))</f>
        <v/>
      </c>
      <c r="O650" s="8" t="str">
        <f t="shared" si="20"/>
        <v/>
      </c>
      <c r="P650" s="8" t="str">
        <f>IF(OR(O650="",'Facturas y gastos'!$B$24="",'Facturas y gastos'!$B$45&lt;&gt;"OK",SUM($O$8:$O$657)=0),"",O650*'Facturas y gastos'!$B$43/SUM($O$8:$O$657))</f>
        <v/>
      </c>
      <c r="Q650" s="8" t="str">
        <f>IF(OR(O650="",'Facturas y gastos'!$B$5="",P650=""),"",O650*'Facturas y gastos'!$B$5+P650)</f>
        <v/>
      </c>
      <c r="R650" s="8" t="str">
        <f t="shared" si="21"/>
        <v/>
      </c>
    </row>
    <row r="651" spans="1:18">
      <c r="A651" s="20"/>
      <c r="B651" s="20"/>
      <c r="C651" s="20"/>
      <c r="D651" s="20"/>
      <c r="E651" s="20"/>
      <c r="F651" s="30"/>
      <c r="G651" s="30"/>
      <c r="H651" s="21"/>
      <c r="I651" s="21"/>
      <c r="J651" s="8" t="str">
        <f>IF(OR(A651="",I651=""),"",IF(SUMIFS($I$8:$I$657,$A$8:$A$657,A651)=0,"",I651*SUMIFS('Facturas y gastos'!$D$10:$D$13,'Facturas y gastos'!$A$10:$A$13,A651)/SUMIFS($I$8:$I$657,$A$8:$A$657,A651)))</f>
        <v/>
      </c>
      <c r="K651" s="8" t="str">
        <f>IF(J651="","",IF(SUMIFS('Facturas y gastos'!$D$10:$D$13,'Facturas y gastos'!$A$10:$A$13,A651)=0,"",J651*SUMIFS('Facturas y gastos'!$G$10:$G$13,'Facturas y gastos'!$A$10:$A$13,A651)/SUMIFS('Facturas y gastos'!$D$10:$D$13,'Facturas y gastos'!$A$10:$A$13,A651)))</f>
        <v/>
      </c>
      <c r="L651" s="8" t="str">
        <f>IF(J651="","",IF(SUMIFS('Facturas y gastos'!$D$10:$D$13,'Facturas y gastos'!$A$10:$A$13,A651)=0,"",J651*SUMIFS('Facturas y gastos'!$H$10:$H$13,'Facturas y gastos'!$A$10:$A$13,A651)/SUMIFS('Facturas y gastos'!$D$10:$D$13,'Facturas y gastos'!$A$10:$A$13,A651)))</f>
        <v/>
      </c>
      <c r="M651" s="8" t="str">
        <f>IF(J651="","",IF(SUMIFS('Facturas y gastos'!$D$10:$D$13,'Facturas y gastos'!$A$10:$A$13,A651)=0,"",J651*SUMIFS('Facturas y gastos'!$I$10:$I$13,'Facturas y gastos'!$A$10:$A$13,A651)/SUMIFS('Facturas y gastos'!$D$10:$D$13,'Facturas y gastos'!$A$10:$A$13,A651)))</f>
        <v/>
      </c>
      <c r="N651" s="8" t="str">
        <f>IF(J651="","",IF(SUMIFS('Facturas y gastos'!$D$10:$D$13,'Facturas y gastos'!$A$10:$A$13,A651)=0,"",J651*SUMIFS('Facturas y gastos'!$J$10:$J$13,'Facturas y gastos'!$A$10:$A$13,A651)/SUMIFS('Facturas y gastos'!$D$10:$D$13,'Facturas y gastos'!$A$10:$A$13,A651)))</f>
        <v/>
      </c>
      <c r="O651" s="8" t="str">
        <f t="shared" si="20"/>
        <v/>
      </c>
      <c r="P651" s="8" t="str">
        <f>IF(OR(O651="",'Facturas y gastos'!$B$24="",'Facturas y gastos'!$B$45&lt;&gt;"OK",SUM($O$8:$O$657)=0),"",O651*'Facturas y gastos'!$B$43/SUM($O$8:$O$657))</f>
        <v/>
      </c>
      <c r="Q651" s="8" t="str">
        <f>IF(OR(O651="",'Facturas y gastos'!$B$5="",P651=""),"",O651*'Facturas y gastos'!$B$5+P651)</f>
        <v/>
      </c>
      <c r="R651" s="8" t="str">
        <f t="shared" si="21"/>
        <v/>
      </c>
    </row>
    <row r="652" spans="1:18">
      <c r="A652" s="20"/>
      <c r="B652" s="20"/>
      <c r="C652" s="20"/>
      <c r="D652" s="20"/>
      <c r="E652" s="20"/>
      <c r="F652" s="30"/>
      <c r="G652" s="30"/>
      <c r="H652" s="21"/>
      <c r="I652" s="21"/>
      <c r="J652" s="8" t="str">
        <f>IF(OR(A652="",I652=""),"",IF(SUMIFS($I$8:$I$657,$A$8:$A$657,A652)=0,"",I652*SUMIFS('Facturas y gastos'!$D$10:$D$13,'Facturas y gastos'!$A$10:$A$13,A652)/SUMIFS($I$8:$I$657,$A$8:$A$657,A652)))</f>
        <v/>
      </c>
      <c r="K652" s="8" t="str">
        <f>IF(J652="","",IF(SUMIFS('Facturas y gastos'!$D$10:$D$13,'Facturas y gastos'!$A$10:$A$13,A652)=0,"",J652*SUMIFS('Facturas y gastos'!$G$10:$G$13,'Facturas y gastos'!$A$10:$A$13,A652)/SUMIFS('Facturas y gastos'!$D$10:$D$13,'Facturas y gastos'!$A$10:$A$13,A652)))</f>
        <v/>
      </c>
      <c r="L652" s="8" t="str">
        <f>IF(J652="","",IF(SUMIFS('Facturas y gastos'!$D$10:$D$13,'Facturas y gastos'!$A$10:$A$13,A652)=0,"",J652*SUMIFS('Facturas y gastos'!$H$10:$H$13,'Facturas y gastos'!$A$10:$A$13,A652)/SUMIFS('Facturas y gastos'!$D$10:$D$13,'Facturas y gastos'!$A$10:$A$13,A652)))</f>
        <v/>
      </c>
      <c r="M652" s="8" t="str">
        <f>IF(J652="","",IF(SUMIFS('Facturas y gastos'!$D$10:$D$13,'Facturas y gastos'!$A$10:$A$13,A652)=0,"",J652*SUMIFS('Facturas y gastos'!$I$10:$I$13,'Facturas y gastos'!$A$10:$A$13,A652)/SUMIFS('Facturas y gastos'!$D$10:$D$13,'Facturas y gastos'!$A$10:$A$13,A652)))</f>
        <v/>
      </c>
      <c r="N652" s="8" t="str">
        <f>IF(J652="","",IF(SUMIFS('Facturas y gastos'!$D$10:$D$13,'Facturas y gastos'!$A$10:$A$13,A652)=0,"",J652*SUMIFS('Facturas y gastos'!$J$10:$J$13,'Facturas y gastos'!$A$10:$A$13,A652)/SUMIFS('Facturas y gastos'!$D$10:$D$13,'Facturas y gastos'!$A$10:$A$13,A652)))</f>
        <v/>
      </c>
      <c r="O652" s="8" t="str">
        <f t="shared" si="20"/>
        <v/>
      </c>
      <c r="P652" s="8" t="str">
        <f>IF(OR(O652="",'Facturas y gastos'!$B$24="",'Facturas y gastos'!$B$45&lt;&gt;"OK",SUM($O$8:$O$657)=0),"",O652*'Facturas y gastos'!$B$43/SUM($O$8:$O$657))</f>
        <v/>
      </c>
      <c r="Q652" s="8" t="str">
        <f>IF(OR(O652="",'Facturas y gastos'!$B$5="",P652=""),"",O652*'Facturas y gastos'!$B$5+P652)</f>
        <v/>
      </c>
      <c r="R652" s="8" t="str">
        <f t="shared" si="21"/>
        <v/>
      </c>
    </row>
    <row r="653" spans="1:18">
      <c r="A653" s="20"/>
      <c r="B653" s="20"/>
      <c r="C653" s="20"/>
      <c r="D653" s="20"/>
      <c r="E653" s="20"/>
      <c r="F653" s="30"/>
      <c r="G653" s="30"/>
      <c r="H653" s="21"/>
      <c r="I653" s="21"/>
      <c r="J653" s="8" t="str">
        <f>IF(OR(A653="",I653=""),"",IF(SUMIFS($I$8:$I$657,$A$8:$A$657,A653)=0,"",I653*SUMIFS('Facturas y gastos'!$D$10:$D$13,'Facturas y gastos'!$A$10:$A$13,A653)/SUMIFS($I$8:$I$657,$A$8:$A$657,A653)))</f>
        <v/>
      </c>
      <c r="K653" s="8" t="str">
        <f>IF(J653="","",IF(SUMIFS('Facturas y gastos'!$D$10:$D$13,'Facturas y gastos'!$A$10:$A$13,A653)=0,"",J653*SUMIFS('Facturas y gastos'!$G$10:$G$13,'Facturas y gastos'!$A$10:$A$13,A653)/SUMIFS('Facturas y gastos'!$D$10:$D$13,'Facturas y gastos'!$A$10:$A$13,A653)))</f>
        <v/>
      </c>
      <c r="L653" s="8" t="str">
        <f>IF(J653="","",IF(SUMIFS('Facturas y gastos'!$D$10:$D$13,'Facturas y gastos'!$A$10:$A$13,A653)=0,"",J653*SUMIFS('Facturas y gastos'!$H$10:$H$13,'Facturas y gastos'!$A$10:$A$13,A653)/SUMIFS('Facturas y gastos'!$D$10:$D$13,'Facturas y gastos'!$A$10:$A$13,A653)))</f>
        <v/>
      </c>
      <c r="M653" s="8" t="str">
        <f>IF(J653="","",IF(SUMIFS('Facturas y gastos'!$D$10:$D$13,'Facturas y gastos'!$A$10:$A$13,A653)=0,"",J653*SUMIFS('Facturas y gastos'!$I$10:$I$13,'Facturas y gastos'!$A$10:$A$13,A653)/SUMIFS('Facturas y gastos'!$D$10:$D$13,'Facturas y gastos'!$A$10:$A$13,A653)))</f>
        <v/>
      </c>
      <c r="N653" s="8" t="str">
        <f>IF(J653="","",IF(SUMIFS('Facturas y gastos'!$D$10:$D$13,'Facturas y gastos'!$A$10:$A$13,A653)=0,"",J653*SUMIFS('Facturas y gastos'!$J$10:$J$13,'Facturas y gastos'!$A$10:$A$13,A653)/SUMIFS('Facturas y gastos'!$D$10:$D$13,'Facturas y gastos'!$A$10:$A$13,A653)))</f>
        <v/>
      </c>
      <c r="O653" s="8" t="str">
        <f t="shared" si="20"/>
        <v/>
      </c>
      <c r="P653" s="8" t="str">
        <f>IF(OR(O653="",'Facturas y gastos'!$B$24="",'Facturas y gastos'!$B$45&lt;&gt;"OK",SUM($O$8:$O$657)=0),"",O653*'Facturas y gastos'!$B$43/SUM($O$8:$O$657))</f>
        <v/>
      </c>
      <c r="Q653" s="8" t="str">
        <f>IF(OR(O653="",'Facturas y gastos'!$B$5="",P653=""),"",O653*'Facturas y gastos'!$B$5+P653)</f>
        <v/>
      </c>
      <c r="R653" s="8" t="str">
        <f t="shared" si="21"/>
        <v/>
      </c>
    </row>
    <row r="654" spans="1:18">
      <c r="A654" s="20"/>
      <c r="B654" s="20"/>
      <c r="C654" s="20"/>
      <c r="D654" s="20"/>
      <c r="E654" s="20"/>
      <c r="F654" s="30"/>
      <c r="G654" s="30"/>
      <c r="H654" s="21"/>
      <c r="I654" s="21"/>
      <c r="J654" s="8" t="str">
        <f>IF(OR(A654="",I654=""),"",IF(SUMIFS($I$8:$I$657,$A$8:$A$657,A654)=0,"",I654*SUMIFS('Facturas y gastos'!$D$10:$D$13,'Facturas y gastos'!$A$10:$A$13,A654)/SUMIFS($I$8:$I$657,$A$8:$A$657,A654)))</f>
        <v/>
      </c>
      <c r="K654" s="8" t="str">
        <f>IF(J654="","",IF(SUMIFS('Facturas y gastos'!$D$10:$D$13,'Facturas y gastos'!$A$10:$A$13,A654)=0,"",J654*SUMIFS('Facturas y gastos'!$G$10:$G$13,'Facturas y gastos'!$A$10:$A$13,A654)/SUMIFS('Facturas y gastos'!$D$10:$D$13,'Facturas y gastos'!$A$10:$A$13,A654)))</f>
        <v/>
      </c>
      <c r="L654" s="8" t="str">
        <f>IF(J654="","",IF(SUMIFS('Facturas y gastos'!$D$10:$D$13,'Facturas y gastos'!$A$10:$A$13,A654)=0,"",J654*SUMIFS('Facturas y gastos'!$H$10:$H$13,'Facturas y gastos'!$A$10:$A$13,A654)/SUMIFS('Facturas y gastos'!$D$10:$D$13,'Facturas y gastos'!$A$10:$A$13,A654)))</f>
        <v/>
      </c>
      <c r="M654" s="8" t="str">
        <f>IF(J654="","",IF(SUMIFS('Facturas y gastos'!$D$10:$D$13,'Facturas y gastos'!$A$10:$A$13,A654)=0,"",J654*SUMIFS('Facturas y gastos'!$I$10:$I$13,'Facturas y gastos'!$A$10:$A$13,A654)/SUMIFS('Facturas y gastos'!$D$10:$D$13,'Facturas y gastos'!$A$10:$A$13,A654)))</f>
        <v/>
      </c>
      <c r="N654" s="8" t="str">
        <f>IF(J654="","",IF(SUMIFS('Facturas y gastos'!$D$10:$D$13,'Facturas y gastos'!$A$10:$A$13,A654)=0,"",J654*SUMIFS('Facturas y gastos'!$J$10:$J$13,'Facturas y gastos'!$A$10:$A$13,A654)/SUMIFS('Facturas y gastos'!$D$10:$D$13,'Facturas y gastos'!$A$10:$A$13,A654)))</f>
        <v/>
      </c>
      <c r="O654" s="8" t="str">
        <f t="shared" si="20"/>
        <v/>
      </c>
      <c r="P654" s="8" t="str">
        <f>IF(OR(O654="",'Facturas y gastos'!$B$24="",'Facturas y gastos'!$B$45&lt;&gt;"OK",SUM($O$8:$O$657)=0),"",O654*'Facturas y gastos'!$B$43/SUM($O$8:$O$657))</f>
        <v/>
      </c>
      <c r="Q654" s="8" t="str">
        <f>IF(OR(O654="",'Facturas y gastos'!$B$5="",P654=""),"",O654*'Facturas y gastos'!$B$5+P654)</f>
        <v/>
      </c>
      <c r="R654" s="8" t="str">
        <f t="shared" si="21"/>
        <v/>
      </c>
    </row>
    <row r="655" spans="1:18">
      <c r="A655" s="20"/>
      <c r="B655" s="20"/>
      <c r="C655" s="20"/>
      <c r="D655" s="20"/>
      <c r="E655" s="20"/>
      <c r="F655" s="30"/>
      <c r="G655" s="30"/>
      <c r="H655" s="21"/>
      <c r="I655" s="21"/>
      <c r="J655" s="8" t="str">
        <f>IF(OR(A655="",I655=""),"",IF(SUMIFS($I$8:$I$657,$A$8:$A$657,A655)=0,"",I655*SUMIFS('Facturas y gastos'!$D$10:$D$13,'Facturas y gastos'!$A$10:$A$13,A655)/SUMIFS($I$8:$I$657,$A$8:$A$657,A655)))</f>
        <v/>
      </c>
      <c r="K655" s="8" t="str">
        <f>IF(J655="","",IF(SUMIFS('Facturas y gastos'!$D$10:$D$13,'Facturas y gastos'!$A$10:$A$13,A655)=0,"",J655*SUMIFS('Facturas y gastos'!$G$10:$G$13,'Facturas y gastos'!$A$10:$A$13,A655)/SUMIFS('Facturas y gastos'!$D$10:$D$13,'Facturas y gastos'!$A$10:$A$13,A655)))</f>
        <v/>
      </c>
      <c r="L655" s="8" t="str">
        <f>IF(J655="","",IF(SUMIFS('Facturas y gastos'!$D$10:$D$13,'Facturas y gastos'!$A$10:$A$13,A655)=0,"",J655*SUMIFS('Facturas y gastos'!$H$10:$H$13,'Facturas y gastos'!$A$10:$A$13,A655)/SUMIFS('Facturas y gastos'!$D$10:$D$13,'Facturas y gastos'!$A$10:$A$13,A655)))</f>
        <v/>
      </c>
      <c r="M655" s="8" t="str">
        <f>IF(J655="","",IF(SUMIFS('Facturas y gastos'!$D$10:$D$13,'Facturas y gastos'!$A$10:$A$13,A655)=0,"",J655*SUMIFS('Facturas y gastos'!$I$10:$I$13,'Facturas y gastos'!$A$10:$A$13,A655)/SUMIFS('Facturas y gastos'!$D$10:$D$13,'Facturas y gastos'!$A$10:$A$13,A655)))</f>
        <v/>
      </c>
      <c r="N655" s="8" t="str">
        <f>IF(J655="","",IF(SUMIFS('Facturas y gastos'!$D$10:$D$13,'Facturas y gastos'!$A$10:$A$13,A655)=0,"",J655*SUMIFS('Facturas y gastos'!$J$10:$J$13,'Facturas y gastos'!$A$10:$A$13,A655)/SUMIFS('Facturas y gastos'!$D$10:$D$13,'Facturas y gastos'!$A$10:$A$13,A655)))</f>
        <v/>
      </c>
      <c r="O655" s="8" t="str">
        <f t="shared" si="20"/>
        <v/>
      </c>
      <c r="P655" s="8" t="str">
        <f>IF(OR(O655="",'Facturas y gastos'!$B$24="",'Facturas y gastos'!$B$45&lt;&gt;"OK",SUM($O$8:$O$657)=0),"",O655*'Facturas y gastos'!$B$43/SUM($O$8:$O$657))</f>
        <v/>
      </c>
      <c r="Q655" s="8" t="str">
        <f>IF(OR(O655="",'Facturas y gastos'!$B$5="",P655=""),"",O655*'Facturas y gastos'!$B$5+P655)</f>
        <v/>
      </c>
      <c r="R655" s="8" t="str">
        <f t="shared" si="21"/>
        <v/>
      </c>
    </row>
    <row r="656" spans="1:18">
      <c r="A656" s="20"/>
      <c r="B656" s="20"/>
      <c r="C656" s="20"/>
      <c r="D656" s="20"/>
      <c r="E656" s="20"/>
      <c r="F656" s="30"/>
      <c r="G656" s="30"/>
      <c r="H656" s="21"/>
      <c r="I656" s="21"/>
      <c r="J656" s="8" t="str">
        <f>IF(OR(A656="",I656=""),"",IF(SUMIFS($I$8:$I$657,$A$8:$A$657,A656)=0,"",I656*SUMIFS('Facturas y gastos'!$D$10:$D$13,'Facturas y gastos'!$A$10:$A$13,A656)/SUMIFS($I$8:$I$657,$A$8:$A$657,A656)))</f>
        <v/>
      </c>
      <c r="K656" s="8" t="str">
        <f>IF(J656="","",IF(SUMIFS('Facturas y gastos'!$D$10:$D$13,'Facturas y gastos'!$A$10:$A$13,A656)=0,"",J656*SUMIFS('Facturas y gastos'!$G$10:$G$13,'Facturas y gastos'!$A$10:$A$13,A656)/SUMIFS('Facturas y gastos'!$D$10:$D$13,'Facturas y gastos'!$A$10:$A$13,A656)))</f>
        <v/>
      </c>
      <c r="L656" s="8" t="str">
        <f>IF(J656="","",IF(SUMIFS('Facturas y gastos'!$D$10:$D$13,'Facturas y gastos'!$A$10:$A$13,A656)=0,"",J656*SUMIFS('Facturas y gastos'!$H$10:$H$13,'Facturas y gastos'!$A$10:$A$13,A656)/SUMIFS('Facturas y gastos'!$D$10:$D$13,'Facturas y gastos'!$A$10:$A$13,A656)))</f>
        <v/>
      </c>
      <c r="M656" s="8" t="str">
        <f>IF(J656="","",IF(SUMIFS('Facturas y gastos'!$D$10:$D$13,'Facturas y gastos'!$A$10:$A$13,A656)=0,"",J656*SUMIFS('Facturas y gastos'!$I$10:$I$13,'Facturas y gastos'!$A$10:$A$13,A656)/SUMIFS('Facturas y gastos'!$D$10:$D$13,'Facturas y gastos'!$A$10:$A$13,A656)))</f>
        <v/>
      </c>
      <c r="N656" s="8" t="str">
        <f>IF(J656="","",IF(SUMIFS('Facturas y gastos'!$D$10:$D$13,'Facturas y gastos'!$A$10:$A$13,A656)=0,"",J656*SUMIFS('Facturas y gastos'!$J$10:$J$13,'Facturas y gastos'!$A$10:$A$13,A656)/SUMIFS('Facturas y gastos'!$D$10:$D$13,'Facturas y gastos'!$A$10:$A$13,A656)))</f>
        <v/>
      </c>
      <c r="O656" s="8" t="str">
        <f t="shared" si="20"/>
        <v/>
      </c>
      <c r="P656" s="8" t="str">
        <f>IF(OR(O656="",'Facturas y gastos'!$B$24="",'Facturas y gastos'!$B$45&lt;&gt;"OK",SUM($O$8:$O$657)=0),"",O656*'Facturas y gastos'!$B$43/SUM($O$8:$O$657))</f>
        <v/>
      </c>
      <c r="Q656" s="8" t="str">
        <f>IF(OR(O656="",'Facturas y gastos'!$B$5="",P656=""),"",O656*'Facturas y gastos'!$B$5+P656)</f>
        <v/>
      </c>
      <c r="R656" s="8" t="str">
        <f t="shared" si="21"/>
        <v/>
      </c>
    </row>
    <row r="657" spans="1:18">
      <c r="A657" s="20"/>
      <c r="B657" s="20"/>
      <c r="C657" s="20"/>
      <c r="D657" s="20"/>
      <c r="E657" s="20"/>
      <c r="F657" s="30"/>
      <c r="G657" s="30"/>
      <c r="H657" s="21"/>
      <c r="I657" s="21"/>
      <c r="J657" s="8" t="str">
        <f>IF(OR(A657="",I657=""),"",IF(SUMIFS($I$8:$I$657,$A$8:$A$657,A657)=0,"",I657*SUMIFS('Facturas y gastos'!$D$10:$D$13,'Facturas y gastos'!$A$10:$A$13,A657)/SUMIFS($I$8:$I$657,$A$8:$A$657,A657)))</f>
        <v/>
      </c>
      <c r="K657" s="8" t="str">
        <f>IF(J657="","",IF(SUMIFS('Facturas y gastos'!$D$10:$D$13,'Facturas y gastos'!$A$10:$A$13,A657)=0,"",J657*SUMIFS('Facturas y gastos'!$G$10:$G$13,'Facturas y gastos'!$A$10:$A$13,A657)/SUMIFS('Facturas y gastos'!$D$10:$D$13,'Facturas y gastos'!$A$10:$A$13,A657)))</f>
        <v/>
      </c>
      <c r="L657" s="8" t="str">
        <f>IF(J657="","",IF(SUMIFS('Facturas y gastos'!$D$10:$D$13,'Facturas y gastos'!$A$10:$A$13,A657)=0,"",J657*SUMIFS('Facturas y gastos'!$H$10:$H$13,'Facturas y gastos'!$A$10:$A$13,A657)/SUMIFS('Facturas y gastos'!$D$10:$D$13,'Facturas y gastos'!$A$10:$A$13,A657)))</f>
        <v/>
      </c>
      <c r="M657" s="8" t="str">
        <f>IF(J657="","",IF(SUMIFS('Facturas y gastos'!$D$10:$D$13,'Facturas y gastos'!$A$10:$A$13,A657)=0,"",J657*SUMIFS('Facturas y gastos'!$I$10:$I$13,'Facturas y gastos'!$A$10:$A$13,A657)/SUMIFS('Facturas y gastos'!$D$10:$D$13,'Facturas y gastos'!$A$10:$A$13,A657)))</f>
        <v/>
      </c>
      <c r="N657" s="8" t="str">
        <f>IF(J657="","",IF(SUMIFS('Facturas y gastos'!$D$10:$D$13,'Facturas y gastos'!$A$10:$A$13,A657)=0,"",J657*SUMIFS('Facturas y gastos'!$J$10:$J$13,'Facturas y gastos'!$A$10:$A$13,A657)/SUMIFS('Facturas y gastos'!$D$10:$D$13,'Facturas y gastos'!$A$10:$A$13,A657)))</f>
        <v/>
      </c>
      <c r="O657" s="8" t="str">
        <f t="shared" si="20"/>
        <v/>
      </c>
      <c r="P657" s="8" t="str">
        <f>IF(OR(O657="",'Facturas y gastos'!$B$24="",'Facturas y gastos'!$B$45&lt;&gt;"OK",SUM($O$8:$O$657)=0),"",O657*'Facturas y gastos'!$B$43/SUM($O$8:$O$657))</f>
        <v/>
      </c>
      <c r="Q657" s="8" t="str">
        <f>IF(OR(O657="",'Facturas y gastos'!$B$5="",P657=""),"",O657*'Facturas y gastos'!$B$5+P657)</f>
        <v/>
      </c>
      <c r="R657" s="8" t="str">
        <f t="shared" si="21"/>
        <v/>
      </c>
    </row>
  </sheetData>
  <dataValidations count="1">
    <dataValidation type="list" sqref="A8:A657" xr:uid="{00000000-0002-0000-0200-000000000000}">
      <formula1>"A26TM06007-1,A26TM06007-2,A26TM06007-3,A26TM06007-4"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Facturas y gastos</vt:lpstr>
      <vt:lpstr>Mercancias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De La Rosa</dc:creator>
  <cp:lastModifiedBy>Joaquin De La Rosa</cp:lastModifiedBy>
  <dcterms:created xsi:type="dcterms:W3CDTF">2026-09-18T19:57:19Z</dcterms:created>
  <dcterms:modified xsi:type="dcterms:W3CDTF">2026-09-18T19:57:19Z</dcterms:modified>
</cp:coreProperties>
</file>