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a8d1a45d5ac45d/Desktop/Lenova backup/Plastir SRL/"/>
    </mc:Choice>
  </mc:AlternateContent>
  <xr:revisionPtr revIDLastSave="1" documentId="8_{5A06D87F-301B-478E-8D36-EBE87DCA18DF}" xr6:coauthVersionLast="47" xr6:coauthVersionMax="47" xr10:uidLastSave="{4F75C2DE-D48E-4FEB-988E-18B3D0FD6E29}"/>
  <bookViews>
    <workbookView xWindow="-108" yWindow="-108" windowWidth="23256" windowHeight="13896" xr2:uid="{B5E7881C-5E85-450C-BAFB-1F53DDC3A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2" i="1" l="1"/>
  <c r="O12" i="1"/>
  <c r="N12" i="1"/>
  <c r="M12" i="1"/>
  <c r="L12" i="1"/>
  <c r="K12" i="1"/>
  <c r="J12" i="1"/>
  <c r="I12" i="1"/>
  <c r="H12" i="1"/>
  <c r="G12" i="1"/>
  <c r="F12" i="1"/>
  <c r="E12" i="1"/>
  <c r="D12" i="1"/>
</calcChain>
</file>

<file path=xl/sharedStrings.xml><?xml version="1.0" encoding="utf-8"?>
<sst xmlns="http://schemas.openxmlformats.org/spreadsheetml/2006/main" count="26" uniqueCount="25">
  <si>
    <t>C</t>
  </si>
  <si>
    <t>I</t>
  </si>
  <si>
    <t>F</t>
  </si>
  <si>
    <t>Descripcion</t>
  </si>
  <si>
    <t>Cantidad</t>
  </si>
  <si>
    <t>Costo unitario</t>
  </si>
  <si>
    <t>Total</t>
  </si>
  <si>
    <t>Seguro</t>
  </si>
  <si>
    <t>Flete</t>
  </si>
  <si>
    <t>CIF USD</t>
  </si>
  <si>
    <t>CIF RD$</t>
  </si>
  <si>
    <t>Gravamen</t>
  </si>
  <si>
    <t>ISC</t>
  </si>
  <si>
    <t>ITBIS</t>
  </si>
  <si>
    <t>Gestion aduanal</t>
  </si>
  <si>
    <t>Transporte</t>
  </si>
  <si>
    <t>Gasto de viaje</t>
  </si>
  <si>
    <t>Total gastado</t>
  </si>
  <si>
    <t>CT de mercancias</t>
  </si>
  <si>
    <t>CU</t>
  </si>
  <si>
    <t>TV</t>
  </si>
  <si>
    <t>laptops</t>
  </si>
  <si>
    <t>Celulares</t>
  </si>
  <si>
    <t>Platir SRL</t>
  </si>
  <si>
    <t>Liquidación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</si>
</sst>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0" fontId="2" fillId="0" borderId="1" xfId="0" applyFont="1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164" fontId="0" fillId="0" borderId="2" xfId="0" applyNumberFormat="1" applyBorder="1"/>
    <xf numFmtId="43" fontId="0" fillId="0" borderId="2" xfId="0" applyNumberFormat="1" applyBorder="1"/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/>
    <xf numFmtId="43" fontId="2" fillId="2" borderId="2" xfId="1" applyFont="1" applyFill="1" applyBorder="1"/>
    <xf numFmtId="0" fontId="2" fillId="0" borderId="0" xfId="0" applyFont="1"/>
    <xf numFmtId="0" fontId="2" fillId="2" borderId="2" xfId="0" applyFont="1" applyFill="1" applyBorder="1" applyAlignment="1">
      <alignment horizontal="left"/>
    </xf>
    <xf numFmtId="43" fontId="2" fillId="2" borderId="2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CFA4-FBF9-47DA-A1B8-F57E3AC6E53B}">
  <dimension ref="A1:Q12"/>
  <sheetViews>
    <sheetView showGridLines="0" tabSelected="1" workbookViewId="0">
      <selection activeCell="G4" sqref="G4"/>
    </sheetView>
  </sheetViews>
  <sheetFormatPr defaultRowHeight="14.4" x14ac:dyDescent="0.3"/>
  <cols>
    <col min="1" max="1" width="15.21875" customWidth="1"/>
    <col min="2" max="17" width="12.6640625" customWidth="1"/>
  </cols>
  <sheetData>
    <row r="1" spans="1:17" x14ac:dyDescent="0.3">
      <c r="A1" s="10" t="s">
        <v>23</v>
      </c>
    </row>
    <row r="2" spans="1:17" x14ac:dyDescent="0.3">
      <c r="A2" s="10" t="s">
        <v>24</v>
      </c>
    </row>
    <row r="7" spans="1:17" x14ac:dyDescent="0.3">
      <c r="B7" s="1"/>
      <c r="D7" s="2" t="s">
        <v>0</v>
      </c>
      <c r="E7" s="2" t="s">
        <v>1</v>
      </c>
      <c r="F7" s="2" t="s">
        <v>2</v>
      </c>
    </row>
    <row r="8" spans="1:17" x14ac:dyDescent="0.3">
      <c r="A8" s="11" t="s">
        <v>3</v>
      </c>
      <c r="B8" s="12" t="s">
        <v>4</v>
      </c>
      <c r="C8" s="13" t="s">
        <v>5</v>
      </c>
      <c r="D8" s="13" t="s">
        <v>6</v>
      </c>
      <c r="E8" s="13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4" t="s">
        <v>12</v>
      </c>
      <c r="K8" s="14" t="s">
        <v>13</v>
      </c>
      <c r="L8" s="14" t="s">
        <v>14</v>
      </c>
      <c r="M8" s="14" t="s">
        <v>15</v>
      </c>
      <c r="N8" s="14" t="s">
        <v>16</v>
      </c>
      <c r="O8" s="14" t="s">
        <v>17</v>
      </c>
      <c r="P8" s="14" t="s">
        <v>18</v>
      </c>
      <c r="Q8" s="13" t="s">
        <v>19</v>
      </c>
    </row>
    <row r="9" spans="1:17" x14ac:dyDescent="0.3">
      <c r="A9" s="3" t="s">
        <v>20</v>
      </c>
      <c r="B9" s="4">
        <v>80</v>
      </c>
      <c r="C9" s="3">
        <v>200</v>
      </c>
      <c r="D9" s="5">
        <v>16000</v>
      </c>
      <c r="E9" s="5">
        <v>160</v>
      </c>
      <c r="F9" s="5">
        <v>204.08163265306121</v>
      </c>
      <c r="G9" s="5">
        <v>16364.081632653062</v>
      </c>
      <c r="H9" s="4">
        <v>965480.81632653065</v>
      </c>
      <c r="I9" s="5">
        <v>193096.16326530615</v>
      </c>
      <c r="J9" s="5">
        <v>115857.69795918367</v>
      </c>
      <c r="K9" s="5">
        <v>229398.24195918365</v>
      </c>
      <c r="L9" s="5">
        <v>816.32653061224482</v>
      </c>
      <c r="M9" s="5">
        <v>1224.4897959183672</v>
      </c>
      <c r="N9" s="5">
        <v>28897.959183673465</v>
      </c>
      <c r="O9" s="6">
        <v>1534771.6950204081</v>
      </c>
      <c r="P9" s="5">
        <v>1305373.4530612244</v>
      </c>
      <c r="Q9" s="4">
        <v>16317.168163265305</v>
      </c>
    </row>
    <row r="10" spans="1:17" x14ac:dyDescent="0.3">
      <c r="A10" s="3" t="s">
        <v>21</v>
      </c>
      <c r="B10" s="4">
        <v>50</v>
      </c>
      <c r="C10" s="3">
        <v>600</v>
      </c>
      <c r="D10" s="5">
        <v>30000</v>
      </c>
      <c r="E10" s="5">
        <v>300</v>
      </c>
      <c r="F10" s="5">
        <v>382.65306122448982</v>
      </c>
      <c r="G10" s="5">
        <v>30682.65306122449</v>
      </c>
      <c r="H10" s="4">
        <v>1810276.530612245</v>
      </c>
      <c r="I10" s="5">
        <v>362055.30612244899</v>
      </c>
      <c r="J10" s="4">
        <v>0</v>
      </c>
      <c r="K10" s="5">
        <v>391019.73061224492</v>
      </c>
      <c r="L10" s="5">
        <v>1530.6122448979593</v>
      </c>
      <c r="M10" s="5">
        <v>2295.9183673469388</v>
      </c>
      <c r="N10" s="5">
        <v>54183.673469387759</v>
      </c>
      <c r="O10" s="6">
        <v>2621361.7714285715</v>
      </c>
      <c r="P10" s="5">
        <v>2230342.0408163266</v>
      </c>
      <c r="Q10" s="4">
        <v>44606.840816326534</v>
      </c>
    </row>
    <row r="11" spans="1:17" x14ac:dyDescent="0.3">
      <c r="A11" s="3" t="s">
        <v>22</v>
      </c>
      <c r="B11" s="4">
        <v>100</v>
      </c>
      <c r="C11" s="3">
        <v>1500</v>
      </c>
      <c r="D11" s="5">
        <v>150000</v>
      </c>
      <c r="E11" s="5">
        <v>1500</v>
      </c>
      <c r="F11" s="5">
        <v>1913.2653061224489</v>
      </c>
      <c r="G11" s="5">
        <v>153413.26530612246</v>
      </c>
      <c r="H11" s="4">
        <v>9051382.6530612241</v>
      </c>
      <c r="I11" s="5">
        <v>1810276.530612245</v>
      </c>
      <c r="J11" s="5">
        <v>1086165.918367347</v>
      </c>
      <c r="K11" s="5">
        <v>2150608.5183673468</v>
      </c>
      <c r="L11" s="5">
        <v>7653.0612244897957</v>
      </c>
      <c r="M11" s="5">
        <v>11479.591836734693</v>
      </c>
      <c r="N11" s="5">
        <v>270918.36734693876</v>
      </c>
      <c r="O11" s="6">
        <v>14388484.640816327</v>
      </c>
      <c r="P11" s="5">
        <v>12237876.122448981</v>
      </c>
      <c r="Q11" s="4">
        <v>122378.7612244898</v>
      </c>
    </row>
    <row r="12" spans="1:17" x14ac:dyDescent="0.3">
      <c r="A12" s="7" t="s">
        <v>6</v>
      </c>
      <c r="B12" s="7"/>
      <c r="C12" s="7"/>
      <c r="D12" s="8">
        <f t="shared" ref="D12:P12" si="0">SUM(D9:D11)</f>
        <v>196000</v>
      </c>
      <c r="E12" s="8">
        <f t="shared" si="0"/>
        <v>1960</v>
      </c>
      <c r="F12" s="8">
        <f t="shared" si="0"/>
        <v>2500</v>
      </c>
      <c r="G12" s="8">
        <f t="shared" si="0"/>
        <v>200460</v>
      </c>
      <c r="H12" s="9">
        <f t="shared" si="0"/>
        <v>11827140</v>
      </c>
      <c r="I12" s="8">
        <f t="shared" si="0"/>
        <v>2365428</v>
      </c>
      <c r="J12" s="8">
        <f t="shared" si="0"/>
        <v>1202023.6163265307</v>
      </c>
      <c r="K12" s="8">
        <f t="shared" si="0"/>
        <v>2771026.4909387752</v>
      </c>
      <c r="L12" s="8">
        <f t="shared" si="0"/>
        <v>10000</v>
      </c>
      <c r="M12" s="8">
        <f t="shared" si="0"/>
        <v>15000</v>
      </c>
      <c r="N12" s="8">
        <f t="shared" si="0"/>
        <v>354000</v>
      </c>
      <c r="O12" s="8">
        <f t="shared" si="0"/>
        <v>18544618.107265308</v>
      </c>
      <c r="P12" s="8">
        <f t="shared" si="0"/>
        <v>15773591.616326531</v>
      </c>
      <c r="Q12" s="9"/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De La Rosa</dc:creator>
  <cp:lastModifiedBy>Joaquin De La Rosa</cp:lastModifiedBy>
  <dcterms:created xsi:type="dcterms:W3CDTF">2026-09-22T14:07:46Z</dcterms:created>
  <dcterms:modified xsi:type="dcterms:W3CDTF">2026-09-22T14:19:10Z</dcterms:modified>
</cp:coreProperties>
</file>